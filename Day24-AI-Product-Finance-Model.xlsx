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24360" tabRatio="500" firstSheet="0" activeTab="0" autoFilterDateGrouping="1"/>
  </bookViews>
  <sheets>
    <sheet xmlns:r="http://schemas.openxmlformats.org/officeDocument/2006/relationships" name="1. Assumptions" sheetId="1" state="visible" r:id="rId1"/>
    <sheet xmlns:r="http://schemas.openxmlformats.org/officeDocument/2006/relationships" name="2. Unit Economics" sheetId="2" state="visible" r:id="rId2"/>
    <sheet xmlns:r="http://schemas.openxmlformats.org/officeDocument/2006/relationships" name="3. P&amp;L &amp; ROI" sheetId="3" state="visible" r:id="rId3"/>
  </sheets>
  <definedNames/>
  <calcPr calcId="191029" fullCalcOnLoad="1"/>
</workbook>
</file>

<file path=xl/styles.xml><?xml version="1.0" encoding="utf-8"?>
<styleSheet xmlns="http://schemas.openxmlformats.org/spreadsheetml/2006/main">
  <numFmts count="5">
    <numFmt numFmtId="164" formatCode="#,##0;\(#,##0\);\-"/>
    <numFmt numFmtId="165" formatCode="0.0%;\(0.0%\);\-"/>
    <numFmt numFmtId="166" formatCode="0.0&quot; tháng&quot;"/>
    <numFmt numFmtId="167" formatCode="0.00\x"/>
    <numFmt numFmtId="168" formatCode="0.00%;\(0.00%\);\-"/>
  </numFmts>
  <fonts count="41">
    <font>
      <name val="Calibri"/>
      <charset val="1"/>
      <color theme="1"/>
      <sz val="11"/>
    </font>
    <font>
      <name val="Arial"/>
      <charset val="1"/>
      <b val="1"/>
      <color rgb="FFFFFFFF"/>
      <sz val="16"/>
    </font>
    <font>
      <name val="Arial"/>
      <charset val="1"/>
      <b val="1"/>
      <color rgb="FF0F3460"/>
      <sz val="11"/>
    </font>
    <font>
      <name val="Arial"/>
      <charset val="1"/>
      <b val="1"/>
      <color rgb="FF0000FF"/>
      <sz val="11"/>
    </font>
    <font>
      <name val="Arial"/>
      <charset val="1"/>
      <i val="1"/>
      <color rgb="FF64748B"/>
      <sz val="9"/>
    </font>
    <font>
      <name val="Arial"/>
      <charset val="1"/>
      <b val="1"/>
      <i val="1"/>
      <color rgb="FF0F3460"/>
      <sz val="9"/>
    </font>
    <font>
      <name val="Arial"/>
      <charset val="1"/>
      <i val="1"/>
      <color rgb="FF008000"/>
      <sz val="9"/>
    </font>
    <font>
      <name val="Arial"/>
      <charset val="1"/>
      <b val="1"/>
      <color rgb="FFFFFFFF"/>
      <sz val="11"/>
    </font>
    <font>
      <name val="Arial"/>
      <charset val="1"/>
      <b val="1"/>
      <sz val="10"/>
    </font>
    <font>
      <name val="Arial"/>
      <charset val="1"/>
      <b val="1"/>
      <sz val="9"/>
    </font>
    <font>
      <name val="Arial"/>
      <charset val="1"/>
      <color rgb="FF000000"/>
      <sz val="10"/>
    </font>
    <font>
      <name val="Arial"/>
      <charset val="1"/>
      <sz val="9"/>
    </font>
    <font>
      <name val="Arial"/>
      <charset val="1"/>
      <b val="1"/>
      <color rgb="FF000000"/>
      <sz val="10"/>
    </font>
    <font>
      <name val="Arial"/>
      <charset val="1"/>
      <b val="1"/>
      <color rgb="FF000000"/>
      <sz val="11"/>
    </font>
    <font>
      <name val="Arial"/>
      <charset val="1"/>
      <b val="1"/>
      <sz val="11"/>
    </font>
    <font>
      <name val="Arial"/>
      <charset val="1"/>
      <i val="1"/>
      <color rgb="FF94A3B8"/>
      <sz val="8"/>
    </font>
    <font>
      <name val="Arial"/>
      <charset val="1"/>
      <b val="1"/>
      <sz val="12"/>
    </font>
    <font>
      <name val="Arial"/>
      <charset val="1"/>
      <color rgb="FF008000"/>
      <sz val="10"/>
    </font>
    <font>
      <name val="Arial"/>
      <charset val="1"/>
      <b val="1"/>
      <color rgb="FF0000FF"/>
      <sz val="10"/>
    </font>
    <font>
      <name val="Arial"/>
      <charset val="1"/>
      <i val="1"/>
      <color rgb="FF0000FF"/>
      <sz val="10"/>
    </font>
    <font>
      <name val="Arial"/>
      <charset val="134"/>
      <sz val="10"/>
    </font>
    <font>
      <name val="Calibri"/>
      <charset val="0"/>
      <color rgb="FF0000FF"/>
      <sz val="11"/>
      <u val="single"/>
      <scheme val="minor"/>
    </font>
    <font>
      <name val="Calibri"/>
      <charset val="0"/>
      <color rgb="FF800080"/>
      <sz val="11"/>
      <u val="single"/>
      <scheme val="minor"/>
    </font>
    <font>
      <name val="Calibri"/>
      <charset val="134"/>
      <color theme="1"/>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0">
    <fill>
      <patternFill/>
    </fill>
    <fill>
      <patternFill patternType="gray125"/>
    </fill>
    <fill>
      <patternFill patternType="solid">
        <fgColor rgb="FF1A1A2E"/>
        <bgColor rgb="FF0F3460"/>
      </patternFill>
    </fill>
    <fill>
      <patternFill patternType="solid">
        <fgColor rgb="FFFFFF00"/>
        <bgColor rgb="FFFFFF00"/>
      </patternFill>
    </fill>
    <fill>
      <patternFill patternType="solid">
        <fgColor rgb="FF0F3460"/>
        <bgColor rgb="FF1A1A2E"/>
      </patternFill>
    </fill>
    <fill>
      <patternFill patternType="solid">
        <fgColor rgb="FFF1F5F9"/>
        <bgColor rgb="FFFFFFFF"/>
      </patternFill>
    </fill>
    <fill>
      <patternFill patternType="solid">
        <fgColor rgb="FFDCFCE7"/>
        <bgColor rgb="FFCCFFCC"/>
      </patternFill>
    </fill>
    <fill>
      <patternFill patternType="solid">
        <fgColor rgb="FFFEF3C7"/>
        <bgColor rgb="FFFEE2E2"/>
      </patternFill>
    </fill>
    <fill>
      <patternFill patternType="solid">
        <fgColor rgb="FFFEE2E2"/>
        <bgColor rgb="FFFEF3C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CBD5E1"/>
      </top>
      <bottom/>
      <diagonal/>
    </border>
    <border>
      <left style="thin">
        <color rgb="FFCBD5E1"/>
      </left>
      <right/>
      <top/>
      <bottom/>
      <diagonal/>
    </border>
  </borders>
  <cellStyleXfs count="49">
    <xf numFmtId="0" fontId="0" fillId="0" borderId="0"/>
    <xf numFmtId="43" fontId="20" fillId="0" borderId="0"/>
    <xf numFmtId="44" fontId="20" fillId="0" borderId="0"/>
    <xf numFmtId="9" fontId="20" fillId="0" borderId="0"/>
    <xf numFmtId="41" fontId="20" fillId="0" borderId="0"/>
    <xf numFmtId="42" fontId="20" fillId="0" borderId="0"/>
    <xf numFmtId="0" fontId="21" fillId="0" borderId="0" applyAlignment="1">
      <alignment vertical="center"/>
    </xf>
    <xf numFmtId="0" fontId="22" fillId="0" borderId="0" applyAlignment="1">
      <alignment vertical="center"/>
    </xf>
    <xf numFmtId="0" fontId="23" fillId="9" borderId="4" applyAlignment="1">
      <alignment vertical="center"/>
    </xf>
    <xf numFmtId="0" fontId="24" fillId="0" borderId="0" applyAlignment="1">
      <alignment vertical="center"/>
    </xf>
    <xf numFmtId="0" fontId="25" fillId="0" borderId="0" applyAlignment="1">
      <alignment vertical="center"/>
    </xf>
    <xf numFmtId="0" fontId="26" fillId="0" borderId="0" applyAlignment="1">
      <alignment vertical="center"/>
    </xf>
    <xf numFmtId="0" fontId="27" fillId="0" borderId="5" applyAlignment="1">
      <alignment vertical="center"/>
    </xf>
    <xf numFmtId="0" fontId="28" fillId="0" borderId="5" applyAlignment="1">
      <alignment vertical="center"/>
    </xf>
    <xf numFmtId="0" fontId="29" fillId="0" borderId="6" applyAlignment="1">
      <alignment vertical="center"/>
    </xf>
    <xf numFmtId="0" fontId="29" fillId="0" borderId="0" applyAlignment="1">
      <alignment vertical="center"/>
    </xf>
    <xf numFmtId="0" fontId="30" fillId="10" borderId="7" applyAlignment="1">
      <alignment vertical="center"/>
    </xf>
    <xf numFmtId="0" fontId="31" fillId="11" borderId="8" applyAlignment="1">
      <alignment vertical="center"/>
    </xf>
    <xf numFmtId="0" fontId="32" fillId="11" borderId="7" applyAlignment="1">
      <alignment vertical="center"/>
    </xf>
    <xf numFmtId="0" fontId="33" fillId="12" borderId="9" applyAlignment="1">
      <alignment vertical="center"/>
    </xf>
    <xf numFmtId="0" fontId="34" fillId="0" borderId="10" applyAlignment="1">
      <alignment vertical="center"/>
    </xf>
    <xf numFmtId="0" fontId="35" fillId="0" borderId="11"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40" fillId="17" borderId="0" applyAlignment="1">
      <alignment vertical="center"/>
    </xf>
    <xf numFmtId="0" fontId="40" fillId="18" borderId="0" applyAlignment="1">
      <alignment vertical="center"/>
    </xf>
    <xf numFmtId="0" fontId="39" fillId="19" borderId="0" applyAlignment="1">
      <alignment vertical="center"/>
    </xf>
    <xf numFmtId="0" fontId="39" fillId="20" borderId="0" applyAlignment="1">
      <alignment vertical="center"/>
    </xf>
    <xf numFmtId="0" fontId="40" fillId="21" borderId="0" applyAlignment="1">
      <alignment vertical="center"/>
    </xf>
    <xf numFmtId="0" fontId="40" fillId="22" borderId="0" applyAlignment="1">
      <alignment vertical="center"/>
    </xf>
    <xf numFmtId="0" fontId="39" fillId="23" borderId="0" applyAlignment="1">
      <alignment vertical="center"/>
    </xf>
    <xf numFmtId="0" fontId="39" fillId="24" borderId="0" applyAlignment="1">
      <alignment vertical="center"/>
    </xf>
    <xf numFmtId="0" fontId="40" fillId="25" borderId="0" applyAlignment="1">
      <alignment vertical="center"/>
    </xf>
    <xf numFmtId="0" fontId="40" fillId="26" borderId="0" applyAlignment="1">
      <alignment vertical="center"/>
    </xf>
    <xf numFmtId="0" fontId="39" fillId="27" borderId="0" applyAlignment="1">
      <alignment vertical="center"/>
    </xf>
    <xf numFmtId="0" fontId="39" fillId="28" borderId="0" applyAlignment="1">
      <alignment vertical="center"/>
    </xf>
    <xf numFmtId="0" fontId="40" fillId="29" borderId="0" applyAlignment="1">
      <alignment vertical="center"/>
    </xf>
    <xf numFmtId="0" fontId="40" fillId="30" borderId="0" applyAlignment="1">
      <alignment vertical="center"/>
    </xf>
    <xf numFmtId="0" fontId="39" fillId="31" borderId="0" applyAlignment="1">
      <alignment vertical="center"/>
    </xf>
    <xf numFmtId="0" fontId="39" fillId="32" borderId="0" applyAlignment="1">
      <alignment vertical="center"/>
    </xf>
    <xf numFmtId="0" fontId="40" fillId="33" borderId="0" applyAlignment="1">
      <alignment vertical="center"/>
    </xf>
    <xf numFmtId="0" fontId="40" fillId="34" borderId="0" applyAlignment="1">
      <alignment vertical="center"/>
    </xf>
    <xf numFmtId="0" fontId="39" fillId="35" borderId="0" applyAlignment="1">
      <alignment vertical="center"/>
    </xf>
    <xf numFmtId="0" fontId="39" fillId="36" borderId="0" applyAlignment="1">
      <alignment vertical="center"/>
    </xf>
    <xf numFmtId="0" fontId="40" fillId="37" borderId="0" applyAlignment="1">
      <alignment vertical="center"/>
    </xf>
    <xf numFmtId="0" fontId="40" fillId="38" borderId="0" applyAlignment="1">
      <alignment vertical="center"/>
    </xf>
    <xf numFmtId="0" fontId="39" fillId="39" borderId="0" applyAlignment="1">
      <alignment vertical="center"/>
    </xf>
  </cellStyleXfs>
  <cellXfs count="7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right" vertical="center"/>
    </xf>
    <xf numFmtId="0" fontId="3" fillId="3" borderId="1" applyAlignment="1" pivotButton="0" quotePrefix="0" xfId="0">
      <alignment horizontal="center" vertical="center"/>
    </xf>
    <xf numFmtId="0" fontId="4" fillId="0" borderId="0" applyAlignment="1" pivotButton="0" quotePrefix="0" xfId="0">
      <alignment horizontal="left" vertical="center" wrapText="1"/>
    </xf>
    <xf numFmtId="0" fontId="4" fillId="0" borderId="0" pivotButton="0" quotePrefix="0" xfId="0"/>
    <xf numFmtId="0" fontId="5" fillId="0" borderId="0" pivotButton="0" quotePrefix="0" xfId="0"/>
    <xf numFmtId="0" fontId="4" fillId="0" borderId="0" applyAlignment="1" pivotButton="0" quotePrefix="0" xfId="0">
      <alignment horizontal="left" vertical="center" indent="1"/>
    </xf>
    <xf numFmtId="164" fontId="6" fillId="0" borderId="0" applyAlignment="1" pivotButton="0" quotePrefix="0" xfId="0">
      <alignment horizontal="right" vertical="center"/>
    </xf>
    <xf numFmtId="165" fontId="6" fillId="0" borderId="0" applyAlignment="1" pivotButton="0" quotePrefix="0" xfId="0">
      <alignment horizontal="right" vertical="center"/>
    </xf>
    <xf numFmtId="0" fontId="7" fillId="4" borderId="0" applyAlignment="1" pivotButton="0" quotePrefix="0" xfId="0">
      <alignment horizontal="left" vertical="center" indent="1"/>
    </xf>
    <xf numFmtId="0" fontId="8" fillId="5" borderId="0" pivotButton="0" quotePrefix="0" xfId="0"/>
    <xf numFmtId="0" fontId="9" fillId="5" borderId="0" applyAlignment="1" pivotButton="0" quotePrefix="0" xfId="0">
      <alignment horizontal="center"/>
    </xf>
    <xf numFmtId="0" fontId="10" fillId="0" borderId="0" applyAlignment="1" pivotButton="0" quotePrefix="0" xfId="0">
      <alignment horizontal="left" vertical="center" indent="1"/>
    </xf>
    <xf numFmtId="164" fontId="11" fillId="0" borderId="0" applyAlignment="1" pivotButton="0" quotePrefix="0" xfId="0">
      <alignment horizontal="right"/>
    </xf>
    <xf numFmtId="0" fontId="12" fillId="6" borderId="0" applyAlignment="1" pivotButton="0" quotePrefix="0" xfId="0">
      <alignment horizontal="left" vertical="center"/>
    </xf>
    <xf numFmtId="164" fontId="9" fillId="6" borderId="0" applyAlignment="1" pivotButton="0" quotePrefix="0" xfId="0">
      <alignment horizontal="right"/>
    </xf>
    <xf numFmtId="0" fontId="12" fillId="0" borderId="0" applyAlignment="1" pivotButton="0" quotePrefix="0" xfId="0">
      <alignment horizontal="left" vertical="center"/>
    </xf>
    <xf numFmtId="164" fontId="9" fillId="0" borderId="0" applyAlignment="1" pivotButton="0" quotePrefix="0" xfId="0">
      <alignment horizontal="right"/>
    </xf>
    <xf numFmtId="0" fontId="12" fillId="5" borderId="0" applyAlignment="1" pivotButton="0" quotePrefix="0" xfId="0">
      <alignment horizontal="left" vertical="center"/>
    </xf>
    <xf numFmtId="164" fontId="9" fillId="5" borderId="0" applyAlignment="1" pivotButton="0" quotePrefix="0" xfId="0">
      <alignment horizontal="right"/>
    </xf>
    <xf numFmtId="0" fontId="12" fillId="7" borderId="0" applyAlignment="1" pivotButton="0" quotePrefix="0" xfId="0">
      <alignment horizontal="left" vertical="center"/>
    </xf>
    <xf numFmtId="164" fontId="9" fillId="7" borderId="0" applyAlignment="1" pivotButton="0" quotePrefix="0" xfId="0">
      <alignment horizontal="right"/>
    </xf>
    <xf numFmtId="164" fontId="13" fillId="0" borderId="0" applyAlignment="1" pivotButton="0" quotePrefix="0" xfId="0">
      <alignment horizontal="right"/>
    </xf>
    <xf numFmtId="165" fontId="14" fillId="0" borderId="0" applyAlignment="1" pivotButton="0" quotePrefix="0" xfId="0">
      <alignment horizontal="right"/>
    </xf>
    <xf numFmtId="0" fontId="14" fillId="0" borderId="0" applyAlignment="1" pivotButton="0" quotePrefix="0" xfId="0">
      <alignment horizontal="right"/>
    </xf>
    <xf numFmtId="0" fontId="15" fillId="0" borderId="0" pivotButton="0" quotePrefix="0" xfId="0"/>
    <xf numFmtId="164" fontId="15" fillId="0" borderId="0" applyAlignment="1" pivotButton="0" quotePrefix="0" xfId="0">
      <alignment horizontal="right"/>
    </xf>
    <xf numFmtId="0" fontId="16" fillId="0" borderId="0" applyAlignment="1" pivotButton="0" quotePrefix="0" xfId="0">
      <alignment horizontal="left" vertical="center"/>
    </xf>
    <xf numFmtId="0" fontId="8" fillId="5" borderId="0" applyAlignment="1" pivotButton="0" quotePrefix="0" xfId="0">
      <alignment horizontal="center"/>
    </xf>
    <xf numFmtId="164" fontId="8" fillId="0" borderId="0" pivotButton="0" quotePrefix="0" xfId="0"/>
    <xf numFmtId="164" fontId="8" fillId="6" borderId="0" pivotButton="0" quotePrefix="0" xfId="0"/>
    <xf numFmtId="164" fontId="8" fillId="5" borderId="0" pivotButton="0" quotePrefix="0" xfId="0"/>
    <xf numFmtId="0" fontId="12" fillId="6" borderId="0" applyAlignment="1" pivotButton="0" quotePrefix="0" xfId="0">
      <alignment horizontal="center"/>
    </xf>
    <xf numFmtId="0" fontId="12" fillId="5" borderId="0" applyAlignment="1" pivotButton="0" quotePrefix="0" xfId="0">
      <alignment horizontal="center"/>
    </xf>
    <xf numFmtId="164" fontId="17" fillId="0" borderId="0" applyAlignment="1" pivotButton="0" quotePrefix="0" xfId="0">
      <alignment horizontal="right" vertical="center"/>
    </xf>
    <xf numFmtId="164" fontId="12" fillId="5" borderId="0" applyAlignment="1" pivotButton="0" quotePrefix="0" xfId="0">
      <alignment horizontal="right" vertical="center"/>
    </xf>
    <xf numFmtId="165" fontId="12" fillId="5" borderId="0" applyAlignment="1" pivotButton="0" quotePrefix="0" xfId="0">
      <alignment horizontal="right" vertical="center"/>
    </xf>
    <xf numFmtId="166" fontId="17" fillId="0" borderId="0" applyAlignment="1" pivotButton="0" quotePrefix="0" xfId="0">
      <alignment horizontal="right" vertical="center"/>
    </xf>
    <xf numFmtId="167" fontId="12" fillId="5" borderId="0" applyAlignment="1" pivotButton="0" quotePrefix="0" xfId="0">
      <alignment horizontal="right" vertical="center"/>
    </xf>
    <xf numFmtId="166" fontId="12" fillId="5" borderId="0" applyAlignment="1" pivotButton="0" quotePrefix="0" xfId="0">
      <alignment horizontal="right" vertical="center"/>
    </xf>
    <xf numFmtId="0" fontId="14" fillId="0" borderId="0" applyAlignment="1" pivotButton="0" quotePrefix="0" xfId="0">
      <alignment horizontal="center" vertical="center"/>
    </xf>
    <xf numFmtId="0" fontId="12" fillId="8" borderId="0" applyAlignment="1" pivotButton="0" quotePrefix="0" xfId="0">
      <alignment horizontal="center"/>
    </xf>
    <xf numFmtId="0" fontId="12" fillId="0" borderId="0" applyAlignment="1" pivotButton="0" quotePrefix="0" xfId="0">
      <alignment horizontal="center"/>
    </xf>
    <xf numFmtId="0" fontId="10" fillId="0" borderId="0" applyAlignment="1" pivotButton="0" quotePrefix="0" xfId="0">
      <alignment horizontal="center"/>
    </xf>
    <xf numFmtId="0" fontId="4" fillId="0" borderId="0" applyAlignment="1" pivotButton="0" quotePrefix="0" xfId="0">
      <alignment horizontal="left" vertical="center" wrapText="1"/>
    </xf>
    <xf numFmtId="0" fontId="0" fillId="5" borderId="0" pivotButton="0" quotePrefix="0" xfId="0"/>
    <xf numFmtId="164" fontId="18" fillId="3" borderId="1" applyAlignment="1" pivotButton="0" quotePrefix="0" xfId="0">
      <alignment horizontal="right" vertical="center"/>
    </xf>
    <xf numFmtId="168" fontId="18" fillId="3" borderId="1" applyAlignment="1" pivotButton="0" quotePrefix="0" xfId="0">
      <alignment horizontal="right" vertical="center"/>
    </xf>
    <xf numFmtId="0" fontId="12" fillId="5" borderId="2" applyAlignment="1" pivotButton="0" quotePrefix="0" xfId="0">
      <alignment horizontal="left" vertical="center"/>
    </xf>
    <xf numFmtId="164" fontId="12" fillId="5" borderId="2" applyAlignment="1" pivotButton="0" quotePrefix="0" xfId="0">
      <alignment horizontal="right" vertical="center"/>
    </xf>
    <xf numFmtId="165" fontId="18" fillId="3" borderId="1" applyAlignment="1" pivotButton="0" quotePrefix="0" xfId="0">
      <alignment horizontal="right" vertical="center"/>
    </xf>
    <xf numFmtId="0" fontId="19" fillId="3" borderId="3" applyAlignment="1" pivotButton="0" quotePrefix="0" xfId="0">
      <alignment horizontal="left" vertical="top" wrapText="1" indent="1"/>
    </xf>
    <xf numFmtId="0" fontId="0" fillId="5" borderId="2" pivotButton="0" quotePrefix="0" xfId="0"/>
    <xf numFmtId="164" fontId="18" fillId="3" borderId="1" applyAlignment="1" pivotButton="0" quotePrefix="0" xfId="0">
      <alignment horizontal="right" vertical="center"/>
    </xf>
    <xf numFmtId="168" fontId="18" fillId="3" borderId="1" applyAlignment="1" pivotButton="0" quotePrefix="0" xfId="0">
      <alignment horizontal="right" vertical="center"/>
    </xf>
    <xf numFmtId="165" fontId="18" fillId="3" borderId="1" applyAlignment="1" pivotButton="0" quotePrefix="0" xfId="0">
      <alignment horizontal="right" vertical="center"/>
    </xf>
    <xf numFmtId="164" fontId="12" fillId="5" borderId="2" applyAlignment="1" pivotButton="0" quotePrefix="0" xfId="0">
      <alignment horizontal="right" vertical="center"/>
    </xf>
    <xf numFmtId="166" fontId="12" fillId="5" borderId="0" applyAlignment="1" pivotButton="0" quotePrefix="0" xfId="0">
      <alignment horizontal="right" vertical="center"/>
    </xf>
    <xf numFmtId="164" fontId="12" fillId="5" borderId="0" applyAlignment="1" pivotButton="0" quotePrefix="0" xfId="0">
      <alignment horizontal="right" vertical="center"/>
    </xf>
    <xf numFmtId="165" fontId="12" fillId="5" borderId="0" applyAlignment="1" pivotButton="0" quotePrefix="0" xfId="0">
      <alignment horizontal="right" vertical="center"/>
    </xf>
    <xf numFmtId="0" fontId="0" fillId="0" borderId="12" pivotButton="0" quotePrefix="0" xfId="0"/>
    <xf numFmtId="0" fontId="0" fillId="0" borderId="13" pivotButton="0" quotePrefix="0" xfId="0"/>
    <xf numFmtId="164" fontId="17" fillId="0" borderId="0" applyAlignment="1" pivotButton="0" quotePrefix="0" xfId="0">
      <alignment horizontal="right" vertical="center"/>
    </xf>
    <xf numFmtId="166" fontId="17" fillId="0" borderId="0" applyAlignment="1" pivotButton="0" quotePrefix="0" xfId="0">
      <alignment horizontal="right" vertical="center"/>
    </xf>
    <xf numFmtId="167" fontId="12" fillId="5" borderId="0" applyAlignment="1" pivotButton="0" quotePrefix="0" xfId="0">
      <alignment horizontal="right" vertical="center"/>
    </xf>
    <xf numFmtId="164" fontId="6" fillId="0" borderId="0" applyAlignment="1" pivotButton="0" quotePrefix="0" xfId="0">
      <alignment horizontal="right" vertical="center"/>
    </xf>
    <xf numFmtId="165" fontId="6" fillId="0" borderId="0" applyAlignment="1" pivotButton="0" quotePrefix="0" xfId="0">
      <alignment horizontal="right" vertical="center"/>
    </xf>
    <xf numFmtId="164" fontId="11" fillId="0" borderId="0" applyAlignment="1" pivotButton="0" quotePrefix="0" xfId="0">
      <alignment horizontal="right"/>
    </xf>
    <xf numFmtId="164" fontId="8" fillId="0" borderId="0" pivotButton="0" quotePrefix="0" xfId="0"/>
    <xf numFmtId="164" fontId="9" fillId="6" borderId="0" applyAlignment="1" pivotButton="0" quotePrefix="0" xfId="0">
      <alignment horizontal="right"/>
    </xf>
    <xf numFmtId="164" fontId="8" fillId="6" borderId="0" pivotButton="0" quotePrefix="0" xfId="0"/>
    <xf numFmtId="164" fontId="9" fillId="0" borderId="0" applyAlignment="1" pivotButton="0" quotePrefix="0" xfId="0">
      <alignment horizontal="right"/>
    </xf>
    <xf numFmtId="164" fontId="9" fillId="5" borderId="0" applyAlignment="1" pivotButton="0" quotePrefix="0" xfId="0">
      <alignment horizontal="right"/>
    </xf>
    <xf numFmtId="164" fontId="8" fillId="5" borderId="0" pivotButton="0" quotePrefix="0" xfId="0"/>
    <xf numFmtId="164" fontId="9" fillId="7" borderId="0" applyAlignment="1" pivotButton="0" quotePrefix="0" xfId="0">
      <alignment horizontal="right"/>
    </xf>
    <xf numFmtId="164" fontId="13" fillId="0" borderId="0" applyAlignment="1" pivotButton="0" quotePrefix="0" xfId="0">
      <alignment horizontal="right"/>
    </xf>
    <xf numFmtId="165" fontId="14" fillId="0" borderId="0" applyAlignment="1" pivotButton="0" quotePrefix="0" xfId="0">
      <alignment horizontal="right"/>
    </xf>
    <xf numFmtId="164" fontId="15" fillId="0" borderId="0" applyAlignment="1" pivotButton="0" quotePrefix="0" xfId="0">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3">
    <dxf>
      <font>
        <name val="Arial"/>
        <charset val="1"/>
        <family val="0"/>
        <b val="1"/>
        <color rgb="FFDC2626"/>
        <sz val="10"/>
      </font>
      <fill>
        <patternFill patternType="solid">
          <bgColor rgb="FFFEE2E2"/>
        </patternFill>
      </fill>
    </dxf>
    <dxf>
      <font>
        <name val="Arial"/>
        <charset val="1"/>
        <family val="0"/>
        <b val="1"/>
        <color rgb="FFD97706"/>
        <sz val="10"/>
      </font>
      <fill>
        <patternFill patternType="solid">
          <bgColor rgb="FFFEF3C7"/>
        </patternFill>
      </fill>
    </dxf>
    <dxf>
      <font>
        <name val="Arial"/>
        <charset val="1"/>
        <family val="0"/>
        <b val="1"/>
        <color rgb="FF16A34A"/>
        <sz val="10"/>
      </font>
      <fill>
        <patternFill patternType="solid">
          <bgColor rgb="FFDCFCE7"/>
        </patternFill>
      </fill>
    </dxf>
    <dxf>
      <font>
        <name val="Arial"/>
        <charset val="1"/>
        <family val="0"/>
        <b val="1"/>
        <color rgb="FFDC2626"/>
        <sz val="9"/>
      </font>
      <fill>
        <patternFill patternType="solid">
          <bgColor rgb="FFFEE2E2"/>
        </patternFill>
      </fill>
    </dxf>
    <dxf>
      <font>
        <name val="Arial"/>
        <charset val="1"/>
        <family val="0"/>
        <b val="1"/>
        <color rgb="FF16A34A"/>
        <sz val="11"/>
      </font>
      <fill>
        <patternFill patternType="solid">
          <bgColor rgb="FFDCFCE7"/>
        </patternFill>
      </fill>
    </dxf>
    <dxf>
      <font>
        <name val="Arial"/>
        <charset val="1"/>
        <family val="0"/>
        <b val="1"/>
        <color rgb="FFDC2626"/>
        <sz val="11"/>
      </font>
      <fill>
        <patternFill patternType="solid">
          <bgColor rgb="FFFEE2E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EF3C7"/>
      <rgbColor rgb="00DCFCE7"/>
      <rgbColor rgb="00660066"/>
      <rgbColor rgb="00FF8080"/>
      <rgbColor rgb="000066CC"/>
      <rgbColor rgb="00CBD5E1"/>
      <rgbColor rgb="00000080"/>
      <rgbColor rgb="00FF00FF"/>
      <rgbColor rgb="00FFFF00"/>
      <rgbColor rgb="0000FFFF"/>
      <rgbColor rgb="00800080"/>
      <rgbColor rgb="00800000"/>
      <rgbColor rgb="00008080"/>
      <rgbColor rgb="000000FF"/>
      <rgbColor rgb="0000CCFF"/>
      <rgbColor rgb="00F1F5F9"/>
      <rgbColor rgb="00CCFFCC"/>
      <rgbColor rgb="00FFFF99"/>
      <rgbColor rgb="0099CCFF"/>
      <rgbColor rgb="00FF99CC"/>
      <rgbColor rgb="00CC99FF"/>
      <rgbColor rgb="00FEE2E2"/>
      <rgbColor rgb="003366FF"/>
      <rgbColor rgb="0033CCCC"/>
      <rgbColor rgb="0099CC00"/>
      <rgbColor rgb="00FFCC00"/>
      <rgbColor rgb="00FF9900"/>
      <rgbColor rgb="00D97706"/>
      <rgbColor rgb="0064748B"/>
      <rgbColor rgb="0094A3B8"/>
      <rgbColor rgb="000F3460"/>
      <rgbColor rgb="0016A34A"/>
      <rgbColor rgb="00003300"/>
      <rgbColor rgb="00333300"/>
      <rgbColor rgb="00993300"/>
      <rgbColor rgb="00993366"/>
      <rgbColor rgb="00333399"/>
      <rgbColor rgb="001A1A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2:G41"/>
  <sheetViews>
    <sheetView tabSelected="1" zoomScale="171" zoomScaleNormal="171" workbookViewId="0">
      <pane ySplit="5" topLeftCell="A6" activePane="bottomLeft" state="frozen"/>
      <selection activeCell="A1" sqref="A1"/>
      <selection pane="bottomLeft" activeCell="C28" sqref="C28"/>
    </sheetView>
  </sheetViews>
  <sheetFormatPr baseColWidth="8" defaultColWidth="8.6796875" defaultRowHeight="16.8"/>
  <cols>
    <col width="3" customWidth="1" min="1" max="1"/>
    <col width="38" customWidth="1" min="2" max="2"/>
    <col width="16" customWidth="1" min="3" max="5"/>
    <col width="14" customWidth="1" min="6" max="6"/>
    <col width="50" customWidth="1" min="7" max="7"/>
  </cols>
  <sheetData>
    <row r="2" ht="30" customHeight="1">
      <c r="B2" s="1" t="inlineStr">
        <is>
          <t>Tab 1 — ASSUMPTIONS  /  Giả định đầu vào</t>
        </is>
      </c>
    </row>
    <row r="3" ht="19.5" customHeight="1">
      <c r="B3" s="45" t="inlineStr">
        <is>
          <t>Luật chơi: chỉ điền vào các ô MÀU VÀNG. Các ô khác là công thức và sẽ tự tính.</t>
        </is>
      </c>
    </row>
    <row r="5">
      <c r="B5" s="10" t="inlineStr">
        <is>
          <t>1. Product &amp; Pricing  /  Sản phẩm &amp; Giá</t>
        </is>
      </c>
    </row>
    <row r="6">
      <c r="C6" s="33" t="inlineStr">
        <is>
          <t>Optimistic</t>
        </is>
      </c>
      <c r="D6" s="34" t="inlineStr">
        <is>
          <t>Base</t>
        </is>
      </c>
      <c r="E6" s="42" t="inlineStr">
        <is>
          <t>Pessimistic</t>
        </is>
      </c>
      <c r="F6" s="43" t="inlineStr">
        <is>
          <t>Đơn vị</t>
        </is>
      </c>
      <c r="G6" s="17" t="inlineStr">
        <is>
          <t>Ghi chú / Note</t>
        </is>
      </c>
    </row>
    <row r="7">
      <c r="B7" s="13" t="inlineStr">
        <is>
          <t>ARPU — Giá bán bình quân/khách/tháng</t>
        </is>
      </c>
      <c r="C7" s="54" t="n">
        <v>299000</v>
      </c>
      <c r="D7" s="54" t="n">
        <v>159000</v>
      </c>
      <c r="E7" s="54" t="n">
        <v>129000</v>
      </c>
      <c r="F7" s="44" t="inlineStr">
        <is>
          <t>VND</t>
        </is>
      </c>
      <c r="G7" s="45" t="inlineStr">
        <is>
          <t>Pricing cao hơn → khó bán hơn nhưng margin tốt hơn</t>
        </is>
      </c>
    </row>
    <row r="8">
      <c r="B8" s="13" t="inlineStr">
        <is>
          <t>Adoption rate — % TAM chuyển thành khách/tháng</t>
        </is>
      </c>
      <c r="C8" s="55" t="n">
        <v>0.001</v>
      </c>
      <c r="D8" s="55" t="n">
        <v>0.0275</v>
      </c>
      <c r="E8" s="56" t="n">
        <v>0.012</v>
      </c>
      <c r="F8" s="44" t="inlineStr">
        <is>
          <t>%/tháng</t>
        </is>
      </c>
      <c r="G8" s="45" t="inlineStr">
        <is>
          <t>% TAM chuyển thành khách trả tiền mới mỗi tháng</t>
        </is>
      </c>
    </row>
    <row r="9">
      <c r="B9" s="13" t="inlineStr">
        <is>
          <t>Total addressable market (số khách tiềm năng)</t>
        </is>
      </c>
      <c r="C9" s="54" t="n">
        <v>1000000</v>
      </c>
      <c r="D9" s="54" t="n">
        <v>10000</v>
      </c>
      <c r="E9" s="54" t="n">
        <v>10000</v>
      </c>
      <c r="F9" s="44" t="inlineStr">
        <is>
          <t>khách</t>
        </is>
      </c>
      <c r="G9" s="45" t="inlineStr">
        <is>
          <t>Tổng số khách hàng tiềm năng có thể tiếp cận được</t>
        </is>
      </c>
    </row>
    <row r="11">
      <c r="B11" s="10" t="inlineStr">
        <is>
          <t>2. COGS  /  Chi phí biến đổi trên mỗi khách hàng</t>
        </is>
      </c>
    </row>
    <row r="12">
      <c r="B12" s="13" t="inlineStr">
        <is>
          <t>API cost / khách / tháng</t>
        </is>
      </c>
      <c r="C12" s="54" t="n">
        <v>10000</v>
      </c>
      <c r="D12" s="54" t="n">
        <v>8800</v>
      </c>
      <c r="E12" s="54" t="n">
        <v>8800</v>
      </c>
      <c r="F12" s="44" t="inlineStr">
        <is>
          <t>VND</t>
        </is>
      </c>
      <c r="G12" s="45" t="inlineStr">
        <is>
          <t>Tiền gọi OpenAI/Anthropic/Gemini API</t>
        </is>
      </c>
    </row>
    <row r="13">
      <c r="B13" s="13" t="inlineStr">
        <is>
          <t>Hidden costs (labeling, retraining, QA)</t>
        </is>
      </c>
      <c r="C13" s="54" t="n">
        <v>50000</v>
      </c>
      <c r="D13" s="54" t="n">
        <v>40000</v>
      </c>
      <c r="E13" s="54" t="n">
        <v>40000</v>
      </c>
      <c r="F13" s="44" t="inlineStr">
        <is>
          <t>VND</t>
        </is>
      </c>
      <c r="G13" s="45" t="inlineStr">
        <is>
          <t>Đừng quên! Đây là cục giết startup AI</t>
        </is>
      </c>
    </row>
    <row r="14" ht="17.55" customHeight="1">
      <c r="B14" s="13" t="inlineStr">
        <is>
          <t>Infrastructure (server/cloud) / khách</t>
        </is>
      </c>
      <c r="C14" s="54" t="n">
        <v>8000</v>
      </c>
      <c r="D14" s="54" t="n">
        <v>5000</v>
      </c>
      <c r="E14" s="54" t="n">
        <v>5000</v>
      </c>
      <c r="F14" s="44" t="inlineStr">
        <is>
          <t>VND</t>
        </is>
      </c>
      <c r="G14" s="45" t="inlineStr">
        <is>
          <t>Phần allocate cloud cost cho mỗi khách</t>
        </is>
      </c>
    </row>
    <row r="15">
      <c r="B15" s="49" t="inlineStr">
        <is>
          <t>→ Tổng COGS / khách / tháng</t>
        </is>
      </c>
      <c r="C15" s="57">
        <f>C12+C13+C14</f>
        <v/>
      </c>
      <c r="D15" s="57">
        <f>D12+D13+D14</f>
        <v/>
      </c>
      <c r="E15" s="57">
        <f>E12+E13+E14</f>
        <v/>
      </c>
      <c r="F15" s="53" t="n"/>
    </row>
    <row r="17">
      <c r="B17" s="10" t="inlineStr">
        <is>
          <t>3. Customer Behavior  /  Hành vi khách hàng</t>
        </is>
      </c>
    </row>
    <row r="18">
      <c r="B18" s="13" t="inlineStr">
        <is>
          <t>Monthly Churn Rate — % khách rời mỗi tháng</t>
        </is>
      </c>
      <c r="C18" s="56" t="n">
        <v>0.07000000000000001</v>
      </c>
      <c r="D18" s="56" t="n">
        <v>0.1</v>
      </c>
      <c r="E18" s="56" t="n">
        <v>0.15</v>
      </c>
      <c r="F18" s="44" t="inlineStr">
        <is>
          <t>%</t>
        </is>
      </c>
      <c r="G18" s="45" t="inlineStr">
        <is>
          <t>Benchmark AI product &lt; 5%/tháng</t>
        </is>
      </c>
    </row>
    <row r="19">
      <c r="B19" s="19" t="inlineStr">
        <is>
          <t>→ Số tháng ở lại trung bình</t>
        </is>
      </c>
      <c r="C19" s="58">
        <f>IFERROR(1/C18,0)</f>
        <v/>
      </c>
      <c r="D19" s="58">
        <f>IFERROR(1/D18,0)</f>
        <v/>
      </c>
      <c r="E19" s="58">
        <f>IFERROR(1/E18,0)</f>
        <v/>
      </c>
      <c r="F19" s="46" t="n"/>
    </row>
    <row r="21">
      <c r="B21" s="10" t="inlineStr">
        <is>
          <t>4. Sales &amp; Marketing  /  Chi phí thu hút khách</t>
        </is>
      </c>
    </row>
    <row r="22">
      <c r="B22" s="13" t="inlineStr">
        <is>
          <t>CAC — Tổng chi phí có 1 khách hàng mới</t>
        </is>
      </c>
      <c r="C22" s="54" t="n">
        <v>500000</v>
      </c>
      <c r="D22" s="54" t="n">
        <v>320000</v>
      </c>
      <c r="E22" s="54" t="n">
        <v>480000</v>
      </c>
      <c r="F22" s="44" t="inlineStr">
        <is>
          <t>VND</t>
        </is>
      </c>
      <c r="G22" s="45" t="inlineStr">
        <is>
          <t>Tổng tiền Marketing &amp; Sales / Số khách mới</t>
        </is>
      </c>
    </row>
    <row r="24">
      <c r="B24" s="10" t="inlineStr">
        <is>
          <t>5. Fixed Costs  /  Chi phí cố định hàng tháng</t>
        </is>
      </c>
    </row>
    <row r="25">
      <c r="B25" s="13" t="inlineStr">
        <is>
          <t>Salaries — Lương team (PM/Dev/Designer)</t>
        </is>
      </c>
      <c r="C25" s="54" t="n">
        <v>200000000</v>
      </c>
      <c r="D25" s="54" t="n">
        <v>50000000</v>
      </c>
      <c r="E25" s="54" t="n">
        <v>20000000</v>
      </c>
      <c r="F25" s="44" t="inlineStr">
        <is>
          <t>VND/tháng</t>
        </is>
      </c>
      <c r="G25" s="45" t="inlineStr">
        <is>
          <t>Pessimistic = phải hire thêm nếu khó scale</t>
        </is>
      </c>
    </row>
    <row r="26">
      <c r="B26" s="13" t="inlineStr">
        <is>
          <t>Office, tools, admin</t>
        </is>
      </c>
      <c r="C26" s="54" t="n">
        <v>30000000</v>
      </c>
      <c r="D26" s="54" t="n">
        <v>10000000</v>
      </c>
      <c r="E26" s="54" t="n">
        <v>10000000</v>
      </c>
      <c r="F26" s="44" t="inlineStr">
        <is>
          <t>VND/tháng</t>
        </is>
      </c>
    </row>
    <row r="27">
      <c r="B27" s="13" t="inlineStr">
        <is>
          <t>Marketing budget hàng tháng</t>
        </is>
      </c>
      <c r="C27" s="54" t="n">
        <v>50000000</v>
      </c>
      <c r="D27" s="54" t="n">
        <v>15000000</v>
      </c>
      <c r="E27" s="54" t="n">
        <v>10000000</v>
      </c>
      <c r="F27" s="44" t="inlineStr">
        <is>
          <t>VND/tháng</t>
        </is>
      </c>
    </row>
    <row r="28">
      <c r="B28" s="19" t="inlineStr">
        <is>
          <t>→ Tổng Fixed Cost / tháng</t>
        </is>
      </c>
      <c r="C28" s="59">
        <f>SUM(C25:C27)</f>
        <v/>
      </c>
      <c r="D28" s="59">
        <f>SUM(D25:D27)</f>
        <v/>
      </c>
      <c r="E28" s="59">
        <f>SUM(E25:E27)</f>
        <v/>
      </c>
      <c r="F28" s="46" t="n"/>
    </row>
    <row r="30">
      <c r="B30" s="10" t="inlineStr">
        <is>
          <t>6. Initial Investment  /  Vốn đầu tư ban đầu</t>
        </is>
      </c>
    </row>
    <row r="31">
      <c r="B31" s="13" t="inlineStr">
        <is>
          <t>Vốn đầu tư ban đầu (build MVP, setup)</t>
        </is>
      </c>
      <c r="C31" s="54" t="n">
        <v>1500000000</v>
      </c>
      <c r="D31" s="54" t="n">
        <v>300000000</v>
      </c>
      <c r="E31" s="54" t="n">
        <v>350000000</v>
      </c>
      <c r="F31" s="44" t="inlineStr">
        <is>
          <t>VND</t>
        </is>
      </c>
      <c r="G31" s="45" t="inlineStr">
        <is>
          <t>Chi phí 1 lần — lương team build MVP, infrastructure setup</t>
        </is>
      </c>
    </row>
    <row r="32">
      <c r="B32" s="13" t="inlineStr">
        <is>
          <t>Tiền mặt ban đầu (sau khi đã trừ vốn đầu tư)</t>
        </is>
      </c>
      <c r="C32" s="54" t="n">
        <v>3000000000</v>
      </c>
      <c r="D32" s="54" t="n">
        <v>1200000000</v>
      </c>
      <c r="E32" s="54" t="n">
        <v>1500000000</v>
      </c>
      <c r="F32" s="44" t="inlineStr">
        <is>
          <t>VND</t>
        </is>
      </c>
      <c r="G32" s="45" t="inlineStr">
        <is>
          <t>Số tiền có sẵn để chi trả fixed cost trong giai đoạn đầu</t>
        </is>
      </c>
    </row>
    <row r="34">
      <c r="B34" s="10" t="inlineStr">
        <is>
          <t>7. Discount Rate  /  Tỷ suất chiết khấu (cho NPV)</t>
        </is>
      </c>
    </row>
    <row r="35">
      <c r="B35" s="13" t="inlineStr">
        <is>
          <t>Annual discount rate (WACC)</t>
        </is>
      </c>
      <c r="C35" s="56" t="n">
        <v>0.2</v>
      </c>
      <c r="D35" s="56" t="n">
        <v>0.2</v>
      </c>
      <c r="E35" s="56" t="n">
        <v>0.2</v>
      </c>
      <c r="F35" s="44" t="inlineStr">
        <is>
          <t>%/năm</t>
        </is>
      </c>
      <c r="G35" s="45" t="inlineStr">
        <is>
          <t>Mức kỳ vọng tối thiểu của nhà đầu tư cho dự án AI rủi ro</t>
        </is>
      </c>
    </row>
    <row r="36">
      <c r="B36" s="19" t="inlineStr">
        <is>
          <t>→ Monthly discount rate</t>
        </is>
      </c>
      <c r="C36" s="60">
        <f>(1+C35)^(1/12)-1</f>
        <v/>
      </c>
      <c r="D36" s="60">
        <f>(1+D35)^(1/12)-1</f>
        <v/>
      </c>
      <c r="E36" s="60">
        <f>(1+E35)^(1/12)-1</f>
        <v/>
      </c>
      <c r="F36" s="46" t="n"/>
    </row>
    <row r="38">
      <c r="B38" s="10" t="inlineStr">
        <is>
          <t>8. Decision Note  /  Ghi chú quyết định</t>
        </is>
      </c>
    </row>
    <row r="39" ht="24.75" customHeight="1">
      <c r="B39" s="52" t="inlineStr">
        <is>
          <t>1. Căn cứ chọn ARPU &amp; CAC: AURA áp dụng mô hình Hybrid Pricing với gói chủ lực AURA Pro giá 159,000 VND/tháng (~$6.5/tháng), tương đương 1-2 lần phí gửi xe nhằm bảo vệ phương tiện tránh rủi ro ngập nước, thủy kích (thiệt hại sửa chữa trung bình 20-50 triệu VND/vụ). Chi phí CAC 320,000 VND được tối ưu thông qua kênh hợp tác B2B2C cùng Ban quản lý Vinhomes Smart City và các group cư dân nội khu, mang lại thời gian thu hồi vốn CAC Payback chỉ 3.04 tháng (&lt; 12 tháng).
2. Giải trình AI Hidden Costs: Dự toán 40,000 VND/khách/tháng (chiếm 454% chi phí API gọi LLM 8,800 VND), gồm 4 cấu phần sống còn: (a) Data Labeling &amp; Crowdsource Validation (15,000 VND) làm sạch ảnh và dữ liệu ngập thực địa gửi về từ cư dân; (b) Model Retraining (10,000 VND ~ 20% chi phí build/năm) định kỳ tinh chỉnh trọng số mô hình Nowcast sau mỗi đợt mưa lớn; (c) Human-in-the-loop (HITL) QA (10,000 VND) cho chuyên viên vận hành kiểm duyệt cảnh báo cấp độ Directive trước khi phát sóng; (d) Compliance &amp; GIS/Weather data license (5,000 VND).
3. Sức khỏe Unit Economics &amp; Plan B: Kịch bản Base đạt Gross Margin 66.16%, LTV = 1,052,000 VND (tính trên Gross Profit), tỷ lệ LTV/CAC = 3.29x (&gt; 3.0 tiêu chuẩn vàng VC). Khi gặp kịch bản bi quan Pessimistic (mùa khô ít mưa, Churn tăng 1.5x lên 15%, CAC tăng 1.5x lên 480,000 VND), Runway vẫn đạt 21 tháng (&gt;= 12 tháng) nhờ đệm tiền mặt 1.5 tỷ VND, đồng thời kích hoạt Plan B: cắt giảm 50% chi phí quảng cáo trả phí và mở rộng bán gói B2B Directive Dashboard cho Ban quản lý khu đô thị để duy trì dòng tiền ổn định.</t>
        </is>
      </c>
      <c r="C39" s="61" t="n"/>
      <c r="D39" s="61" t="n"/>
      <c r="E39" s="61" t="n"/>
      <c r="F39" s="61" t="n"/>
    </row>
    <row r="40" ht="24.75" customHeight="1">
      <c r="B40" s="62" t="n"/>
    </row>
    <row r="41" ht="24.75" customHeight="1">
      <c r="B41" s="62" t="n"/>
    </row>
  </sheetData>
  <mergeCells count="11">
    <mergeCell ref="B3:G3"/>
    <mergeCell ref="B21:F21"/>
    <mergeCell ref="B30:F30"/>
    <mergeCell ref="B24:F24"/>
    <mergeCell ref="B2:F2"/>
    <mergeCell ref="B34:F34"/>
    <mergeCell ref="B38:F38"/>
    <mergeCell ref="B11:F11"/>
    <mergeCell ref="B17:F17"/>
    <mergeCell ref="B5:F5"/>
    <mergeCell ref="B39:F4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G25"/>
  <sheetViews>
    <sheetView zoomScale="147" zoomScaleNormal="147" workbookViewId="0">
      <pane ySplit="5" topLeftCell="A6" activePane="bottomLeft" state="frozen"/>
      <selection activeCell="A1" sqref="A1"/>
      <selection pane="bottomLeft" activeCell="E21" sqref="E21"/>
    </sheetView>
  </sheetViews>
  <sheetFormatPr baseColWidth="8" defaultColWidth="8.6796875" defaultRowHeight="16.8"/>
  <cols>
    <col width="3" customWidth="1" min="1" max="1"/>
    <col width="38" customWidth="1" min="2" max="2"/>
    <col width="16" customWidth="1" min="3" max="5"/>
    <col width="14" customWidth="1" min="6" max="6"/>
    <col width="50" customWidth="1" min="7" max="7"/>
  </cols>
  <sheetData>
    <row r="2" ht="30" customHeight="1">
      <c r="B2" s="1" t="inlineStr">
        <is>
          <t>Tab 2 — UNIT ECONOMICS  /  Kinh tế đơn vị</t>
        </is>
      </c>
    </row>
    <row r="3" ht="19.5" customHeight="1">
      <c r="B3" s="45" t="inlineStr">
        <is>
          <t>Tự động tính từ Tab 1. Kiểm tra: LTV/CAC &gt; 3 (Base) và CAC Payback &lt; 12 tháng.</t>
        </is>
      </c>
    </row>
    <row r="5">
      <c r="B5" s="17" t="inlineStr">
        <is>
          <t>Chỉ số</t>
        </is>
      </c>
      <c r="C5" s="33" t="inlineStr">
        <is>
          <t>Optimistic</t>
        </is>
      </c>
      <c r="D5" s="34" t="inlineStr">
        <is>
          <t>Base</t>
        </is>
      </c>
      <c r="E5" s="42" t="inlineStr">
        <is>
          <t>Pessimistic</t>
        </is>
      </c>
      <c r="F5" s="43" t="inlineStr">
        <is>
          <t>Đơn vị</t>
        </is>
      </c>
      <c r="G5" s="17" t="inlineStr">
        <is>
          <t>Benchmark / Note</t>
        </is>
      </c>
    </row>
    <row r="7">
      <c r="B7" s="10" t="inlineStr">
        <is>
          <t>Trên mỗi khách hàng / per customer</t>
        </is>
      </c>
    </row>
    <row r="8">
      <c r="B8" s="13" t="inlineStr">
        <is>
          <t>ARPU / tháng</t>
        </is>
      </c>
      <c r="C8" s="63">
        <f>'1. Assumptions'!C7</f>
        <v/>
      </c>
      <c r="D8" s="63">
        <f>'1. Assumptions'!D7</f>
        <v/>
      </c>
      <c r="E8" s="63">
        <f>'1. Assumptions'!E7</f>
        <v/>
      </c>
      <c r="F8" s="44" t="inlineStr">
        <is>
          <t>VND</t>
        </is>
      </c>
      <c r="G8" s="45" t="inlineStr">
        <is>
          <t>Liên kết từ Tab Assumptions</t>
        </is>
      </c>
    </row>
    <row r="9">
      <c r="B9" s="13" t="inlineStr">
        <is>
          <t>COGS / tháng</t>
        </is>
      </c>
      <c r="C9" s="63">
        <f>'1. Assumptions'!C15</f>
        <v/>
      </c>
      <c r="D9" s="63">
        <f>'1. Assumptions'!D15</f>
        <v/>
      </c>
      <c r="E9" s="63">
        <f>'1. Assumptions'!E15</f>
        <v/>
      </c>
      <c r="F9" s="44" t="inlineStr">
        <is>
          <t>VND</t>
        </is>
      </c>
    </row>
    <row r="10">
      <c r="B10" s="19" t="inlineStr">
        <is>
          <t>→ Gross Profit / tháng</t>
        </is>
      </c>
      <c r="C10" s="59">
        <f>C8-C9</f>
        <v/>
      </c>
      <c r="D10" s="59">
        <f>D8-D9</f>
        <v/>
      </c>
      <c r="E10" s="59">
        <f>E8-E9</f>
        <v/>
      </c>
      <c r="F10" s="46" t="n"/>
    </row>
    <row r="11">
      <c r="B11" s="19" t="inlineStr">
        <is>
          <t>→ Gross Margin %</t>
        </is>
      </c>
      <c r="C11" s="60">
        <f>IFERROR(C10/C8,0)</f>
        <v/>
      </c>
      <c r="D11" s="60">
        <f>IFERROR(D10/D8,0)</f>
        <v/>
      </c>
      <c r="E11" s="60">
        <f>IFERROR(E10/E8,0)</f>
        <v/>
      </c>
      <c r="F11" s="46" t="n"/>
      <c r="G11" s="45" t="inlineStr">
        <is>
          <t>AI product target: 40-60%. SaaS truyền thống: 80%+</t>
        </is>
      </c>
    </row>
    <row r="13">
      <c r="B13" s="10" t="inlineStr">
        <is>
          <t>LTV — Customer Lifetime Value</t>
        </is>
      </c>
    </row>
    <row r="14">
      <c r="B14" s="13" t="inlineStr">
        <is>
          <t>Số tháng ở lại trung bình</t>
        </is>
      </c>
      <c r="C14" s="64">
        <f>'1. Assumptions'!C19</f>
        <v/>
      </c>
      <c r="D14" s="64">
        <f>'1. Assumptions'!D19</f>
        <v/>
      </c>
      <c r="E14" s="64">
        <f>'1. Assumptions'!E19</f>
        <v/>
      </c>
      <c r="F14" s="44" t="inlineStr">
        <is>
          <t>tháng</t>
        </is>
      </c>
    </row>
    <row r="15">
      <c r="B15" s="19" t="inlineStr">
        <is>
          <t>→ LTV = Gross Profit × Số tháng ở lại</t>
        </is>
      </c>
      <c r="C15" s="59">
        <f>C10*C14</f>
        <v/>
      </c>
      <c r="D15" s="59">
        <f>D10*D14</f>
        <v/>
      </c>
      <c r="E15" s="59">
        <f>E10*E14</f>
        <v/>
      </c>
      <c r="F15" s="46" t="n"/>
      <c r="G15" s="45" t="inlineStr">
        <is>
          <t>Tổng lợi nhuận gộp một khách mang lại trong vòng đời</t>
        </is>
      </c>
    </row>
    <row r="17">
      <c r="B17" s="10" t="inlineStr">
        <is>
          <t>CAC — Customer Acquisition Cost</t>
        </is>
      </c>
    </row>
    <row r="18">
      <c r="B18" s="13" t="inlineStr">
        <is>
          <t>CAC — Chi phí thu hút 1 khách</t>
        </is>
      </c>
      <c r="C18" s="63">
        <f>'1. Assumptions'!C22</f>
        <v/>
      </c>
      <c r="D18" s="63">
        <f>'1. Assumptions'!D22</f>
        <v/>
      </c>
      <c r="E18" s="63">
        <f>'1. Assumptions'!E22</f>
        <v/>
      </c>
      <c r="F18" s="44" t="inlineStr">
        <is>
          <t>VND</t>
        </is>
      </c>
    </row>
    <row r="20">
      <c r="B20" s="10" t="inlineStr">
        <is>
          <t>Key Ratios  /  Tỷ lệ then chốt</t>
        </is>
      </c>
    </row>
    <row r="21">
      <c r="B21" s="19" t="inlineStr">
        <is>
          <t>→ LTV / CAC Ratio</t>
        </is>
      </c>
      <c r="C21" s="65">
        <f>IFERROR(C15/C18,0)</f>
        <v/>
      </c>
      <c r="D21" s="65">
        <f>IFERROR(D15/D18,0)</f>
        <v/>
      </c>
      <c r="E21" s="65">
        <f>IFERROR(E15/E18,0)</f>
        <v/>
      </c>
      <c r="F21" s="46" t="n"/>
      <c r="G21" s="45" t="inlineStr">
        <is>
          <t>🎯 Target &gt; 3.0x (tiêu chuẩn vàng VC)</t>
        </is>
      </c>
    </row>
    <row r="22">
      <c r="B22" s="19" t="inlineStr">
        <is>
          <t>→ CAC Payback Period</t>
        </is>
      </c>
      <c r="C22" s="58">
        <f>IFERROR(C18/C10,0)</f>
        <v/>
      </c>
      <c r="D22" s="58">
        <f>IFERROR(D18/D10,0)</f>
        <v/>
      </c>
      <c r="E22" s="58">
        <f>IFERROR(E18/E10,0)</f>
        <v/>
      </c>
      <c r="F22" s="46" t="n"/>
      <c r="G22" s="45" t="inlineStr">
        <is>
          <t>🎯 Target &lt; 12 tháng (early-stage)</t>
        </is>
      </c>
    </row>
    <row r="24">
      <c r="B24" s="10" t="inlineStr">
        <is>
          <t>Verdict  /  Kết luận</t>
        </is>
      </c>
    </row>
    <row r="25">
      <c r="B25" s="17" t="inlineStr">
        <is>
          <t>Unit Economics Status</t>
        </is>
      </c>
      <c r="C25" s="41">
        <f>IF(AND(C21&gt;=3,C22&lt;=12),"✓ HEALTHY",IF(OR(C21&lt;1,C22&gt;18),"✗ UNHEALTHY","⚠ WATCH"))</f>
        <v/>
      </c>
      <c r="D25" s="41">
        <f>IF(AND(D21&gt;=3,D22&lt;=12),"✓ HEALTHY",IF(OR(D21&lt;1,D22&gt;18),"✗ UNHEALTHY","⚠ WATCH"))</f>
        <v/>
      </c>
      <c r="E25" s="41">
        <f>IF(AND(E21&gt;=3,E22&lt;=12),"✓ HEALTHY",IF(OR(E21&lt;1,E22&gt;18),"✗ UNHEALTHY","⚠ WATCH"))</f>
        <v/>
      </c>
    </row>
  </sheetData>
  <mergeCells count="7">
    <mergeCell ref="B3:G3"/>
    <mergeCell ref="B7:F7"/>
    <mergeCell ref="B24:F24"/>
    <mergeCell ref="B2:F2"/>
    <mergeCell ref="B20:F20"/>
    <mergeCell ref="B17:F17"/>
    <mergeCell ref="B13:F13"/>
  </mergeCells>
  <conditionalFormatting sqref="C21">
    <cfRule type="cellIs" priority="2" operator="lessThan" dxfId="0">
      <formula>1</formula>
    </cfRule>
    <cfRule type="cellIs" priority="3" operator="between" dxfId="1">
      <formula>1</formula>
      <formula>3</formula>
    </cfRule>
    <cfRule type="cellIs" priority="4" operator="greaterThanOrEqual" dxfId="2">
      <formula>3</formula>
    </cfRule>
  </conditionalFormatting>
  <conditionalFormatting sqref="D21">
    <cfRule type="cellIs" priority="5" operator="lessThan" dxfId="0">
      <formula>1</formula>
    </cfRule>
    <cfRule type="cellIs" priority="6" operator="between" dxfId="1">
      <formula>1</formula>
      <formula>3</formula>
    </cfRule>
    <cfRule type="cellIs" priority="7" operator="greaterThanOrEqual" dxfId="2">
      <formula>3</formula>
    </cfRule>
  </conditionalFormatting>
  <conditionalFormatting sqref="E21">
    <cfRule type="cellIs" priority="8" operator="lessThan" dxfId="0">
      <formula>1</formula>
    </cfRule>
    <cfRule type="cellIs" priority="9" operator="between" dxfId="1">
      <formula>1</formula>
      <formula>3</formula>
    </cfRule>
    <cfRule type="cellIs" priority="10" operator="greaterThanOrEqual" dxfId="2">
      <formula>3</formula>
    </cfRule>
  </conditionalFormatting>
  <conditionalFormatting sqref="C22">
    <cfRule type="cellIs" priority="11" operator="greaterThan" dxfId="0">
      <formula>18</formula>
    </cfRule>
    <cfRule type="cellIs" priority="12" operator="between" dxfId="1">
      <formula>12</formula>
      <formula>18</formula>
    </cfRule>
    <cfRule type="cellIs" priority="13" operator="lessThanOrEqual" dxfId="2">
      <formula>12</formula>
    </cfRule>
  </conditionalFormatting>
  <conditionalFormatting sqref="D22">
    <cfRule type="cellIs" priority="14" operator="greaterThan" dxfId="0">
      <formula>18</formula>
    </cfRule>
    <cfRule type="cellIs" priority="15" operator="between" dxfId="1">
      <formula>12</formula>
      <formula>18</formula>
    </cfRule>
    <cfRule type="cellIs" priority="16" operator="lessThanOrEqual" dxfId="2">
      <formula>12</formula>
    </cfRule>
  </conditionalFormatting>
  <conditionalFormatting sqref="E22">
    <cfRule type="cellIs" priority="17" operator="greaterThan" dxfId="0">
      <formula>18</formula>
    </cfRule>
    <cfRule type="cellIs" priority="18" operator="between" dxfId="1">
      <formula>12</formula>
      <formula>18</formula>
    </cfRule>
    <cfRule type="cellIs" priority="19" operator="lessThanOrEqual" dxfId="2">
      <formula>12</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AA44"/>
  <sheetViews>
    <sheetView zoomScale="173" zoomScaleNormal="173" workbookViewId="0">
      <pane xSplit="2" ySplit="21" topLeftCell="C26" activePane="bottomRight" state="frozen"/>
      <selection activeCell="A1" sqref="A1"/>
      <selection pane="topRight" activeCell="A1" sqref="A1"/>
      <selection pane="bottomLeft" activeCell="A1" sqref="A1"/>
      <selection pane="bottomRight" activeCell="C40" sqref="C40"/>
    </sheetView>
  </sheetViews>
  <sheetFormatPr baseColWidth="8" defaultColWidth="8.6796875" defaultRowHeight="16.8"/>
  <cols>
    <col width="3" customWidth="1" min="1" max="1"/>
    <col width="36" customWidth="1" min="2" max="2"/>
    <col width="13" customWidth="1" min="3" max="26"/>
    <col width="16" customWidth="1" min="27" max="27"/>
  </cols>
  <sheetData>
    <row r="2" hidden="1" ht="30" customHeight="1">
      <c r="B2" s="1" t="inlineStr">
        <is>
          <t>Tab 3 — P&amp;L &amp; ROI  /  24 tháng</t>
        </is>
      </c>
    </row>
    <row r="3" hidden="1"/>
    <row r="4" hidden="1" ht="15" customHeight="1">
      <c r="B4" s="2" t="inlineStr">
        <is>
          <t>Chọn scenario:</t>
        </is>
      </c>
      <c r="C4" s="3" t="inlineStr">
        <is>
          <t>Base</t>
        </is>
      </c>
      <c r="D4" s="45" t="inlineStr">
        <is>
          <t>Đổi scenario tại đây để toàn bộ P&amp;L tự cập nhật</t>
        </is>
      </c>
    </row>
    <row r="5" hidden="1"/>
    <row r="6" hidden="1">
      <c r="B6" s="5" t="inlineStr">
        <is>
          <t>Active scenario index:</t>
        </is>
      </c>
      <c r="C6" s="5">
        <f>MATCH(C4,{"Optimistic","Base","Pessimistic"},0)</f>
        <v/>
      </c>
    </row>
    <row r="7" hidden="1">
      <c r="B7" s="6" t="inlineStr">
        <is>
          <t>Selected scenario inputs ↓</t>
        </is>
      </c>
    </row>
    <row r="8" hidden="1">
      <c r="B8" s="7" t="inlineStr">
        <is>
          <t>ARPU / khách / tháng</t>
        </is>
      </c>
      <c r="C8" s="66">
        <f>CHOOSE($C$6,'1. Assumptions'!C7,'1. Assumptions'!D7,'1. Assumptions'!E7)</f>
        <v/>
      </c>
    </row>
    <row r="9" hidden="1">
      <c r="B9" s="7" t="inlineStr">
        <is>
          <t>Adoption rate</t>
        </is>
      </c>
      <c r="C9" s="67">
        <f>CHOOSE($C$6,'1. Assumptions'!C8,'1. Assumptions'!D8,'1. Assumptions'!E8)</f>
        <v/>
      </c>
    </row>
    <row r="10" hidden="1">
      <c r="B10" s="7" t="inlineStr">
        <is>
          <t>TAM (số khách tiềm năng)</t>
        </is>
      </c>
      <c r="C10" s="66">
        <f>CHOOSE($C$6,'1. Assumptions'!C9,'1. Assumptions'!D9,'1. Assumptions'!E9)</f>
        <v/>
      </c>
    </row>
    <row r="11" hidden="1">
      <c r="B11" s="7" t="inlineStr">
        <is>
          <t>Total COGS / khách</t>
        </is>
      </c>
      <c r="C11" s="66">
        <f>CHOOSE($C$6,'1. Assumptions'!C15,'1. Assumptions'!D15,'1. Assumptions'!E15)</f>
        <v/>
      </c>
    </row>
    <row r="12" hidden="1">
      <c r="B12" s="7" t="inlineStr">
        <is>
          <t>Monthly Churn Rate</t>
        </is>
      </c>
      <c r="C12" s="67">
        <f>CHOOSE($C$6,'1. Assumptions'!C18,'1. Assumptions'!D18,'1. Assumptions'!E18)</f>
        <v/>
      </c>
    </row>
    <row r="13" hidden="1">
      <c r="B13" s="7" t="inlineStr">
        <is>
          <t>CAC / khách mới</t>
        </is>
      </c>
      <c r="C13" s="66">
        <f>CHOOSE($C$6,'1. Assumptions'!C22,'1. Assumptions'!D22,'1. Assumptions'!E22)</f>
        <v/>
      </c>
    </row>
    <row r="14" hidden="1">
      <c r="B14" s="7" t="inlineStr">
        <is>
          <t>Fixed Cost / tháng</t>
        </is>
      </c>
      <c r="C14" s="66">
        <f>CHOOSE($C$6,'1. Assumptions'!C28,'1. Assumptions'!D28,'1. Assumptions'!E28)</f>
        <v/>
      </c>
    </row>
    <row r="15" hidden="1">
      <c r="B15" s="7" t="inlineStr">
        <is>
          <t>Initial Investment</t>
        </is>
      </c>
      <c r="C15" s="66">
        <f>CHOOSE($C$6,'1. Assumptions'!C31,'1. Assumptions'!D31,'1. Assumptions'!E31)</f>
        <v/>
      </c>
    </row>
    <row r="16" hidden="1">
      <c r="B16" s="7" t="inlineStr">
        <is>
          <t>Initial Cash</t>
        </is>
      </c>
      <c r="C16" s="66">
        <f>CHOOSE($C$6,'1. Assumptions'!C32,'1. Assumptions'!D32,'1. Assumptions'!E32)</f>
        <v/>
      </c>
    </row>
    <row r="17" hidden="1">
      <c r="B17" s="7" t="inlineStr">
        <is>
          <t>Monthly Discount Rate</t>
        </is>
      </c>
      <c r="C17" s="67">
        <f>CHOOSE($C$6,'1. Assumptions'!C36,'1. Assumptions'!D36,'1. Assumptions'!E36)</f>
        <v/>
      </c>
    </row>
    <row r="20" ht="16" customHeight="1">
      <c r="B20" s="10" t="inlineStr">
        <is>
          <t>P&amp;L Projection — 24 months  (VND)</t>
        </is>
      </c>
    </row>
    <row r="21">
      <c r="B21" s="11" t="inlineStr">
        <is>
          <t>Month</t>
        </is>
      </c>
      <c r="C21" s="12" t="inlineStr">
        <is>
          <t>M1</t>
        </is>
      </c>
      <c r="D21" s="12" t="inlineStr">
        <is>
          <t>M2</t>
        </is>
      </c>
      <c r="E21" s="12" t="inlineStr">
        <is>
          <t>M3</t>
        </is>
      </c>
      <c r="F21" s="12" t="inlineStr">
        <is>
          <t>M4</t>
        </is>
      </c>
      <c r="G21" s="12" t="inlineStr">
        <is>
          <t>M5</t>
        </is>
      </c>
      <c r="H21" s="12" t="inlineStr">
        <is>
          <t>M6</t>
        </is>
      </c>
      <c r="I21" s="12" t="inlineStr">
        <is>
          <t>M7</t>
        </is>
      </c>
      <c r="J21" s="12" t="inlineStr">
        <is>
          <t>M8</t>
        </is>
      </c>
      <c r="K21" s="12" t="inlineStr">
        <is>
          <t>M9</t>
        </is>
      </c>
      <c r="L21" s="12" t="inlineStr">
        <is>
          <t>M10</t>
        </is>
      </c>
      <c r="M21" s="12" t="inlineStr">
        <is>
          <t>M11</t>
        </is>
      </c>
      <c r="N21" s="12" t="inlineStr">
        <is>
          <t>M12</t>
        </is>
      </c>
      <c r="O21" s="12" t="inlineStr">
        <is>
          <t>M13</t>
        </is>
      </c>
      <c r="P21" s="12" t="inlineStr">
        <is>
          <t>M14</t>
        </is>
      </c>
      <c r="Q21" s="12" t="inlineStr">
        <is>
          <t>M15</t>
        </is>
      </c>
      <c r="R21" s="12" t="inlineStr">
        <is>
          <t>M16</t>
        </is>
      </c>
      <c r="S21" s="12" t="inlineStr">
        <is>
          <t>M17</t>
        </is>
      </c>
      <c r="T21" s="12" t="inlineStr">
        <is>
          <t>M18</t>
        </is>
      </c>
      <c r="U21" s="12" t="inlineStr">
        <is>
          <t>M19</t>
        </is>
      </c>
      <c r="V21" s="12" t="inlineStr">
        <is>
          <t>M20</t>
        </is>
      </c>
      <c r="W21" s="12" t="inlineStr">
        <is>
          <t>M21</t>
        </is>
      </c>
      <c r="X21" s="12" t="inlineStr">
        <is>
          <t>M22</t>
        </is>
      </c>
      <c r="Y21" s="12" t="inlineStr">
        <is>
          <t>M23</t>
        </is>
      </c>
      <c r="Z21" s="12" t="inlineStr">
        <is>
          <t>M24</t>
        </is>
      </c>
      <c r="AA21" s="29" t="inlineStr">
        <is>
          <t>TOTAL</t>
        </is>
      </c>
    </row>
    <row r="22">
      <c r="B22" s="13" t="inlineStr">
        <is>
          <t>New customers acquired</t>
        </is>
      </c>
      <c r="C22" s="68">
        <f>ROUND($C$10*$C$9,0)</f>
        <v/>
      </c>
      <c r="D22" s="68">
        <f>ROUND($C$10*$C$9,0)</f>
        <v/>
      </c>
      <c r="E22" s="68">
        <f>ROUND($C$10*$C$9,0)</f>
        <v/>
      </c>
      <c r="F22" s="68">
        <f>ROUND($C$10*$C$9,0)</f>
        <v/>
      </c>
      <c r="G22" s="68">
        <f>ROUND($C$10*$C$9,0)</f>
        <v/>
      </c>
      <c r="H22" s="68">
        <f>ROUND($C$10*$C$9,0)</f>
        <v/>
      </c>
      <c r="I22" s="68">
        <f>ROUND($C$10*$C$9,0)</f>
        <v/>
      </c>
      <c r="J22" s="68">
        <f>ROUND($C$10*$C$9,0)</f>
        <v/>
      </c>
      <c r="K22" s="68">
        <f>ROUND($C$10*$C$9,0)</f>
        <v/>
      </c>
      <c r="L22" s="68">
        <f>ROUND($C$10*$C$9,0)</f>
        <v/>
      </c>
      <c r="M22" s="68">
        <f>ROUND($C$10*$C$9,0)</f>
        <v/>
      </c>
      <c r="N22" s="68">
        <f>ROUND($C$10*$C$9,0)</f>
        <v/>
      </c>
      <c r="O22" s="68">
        <f>ROUND($C$10*$C$9,0)</f>
        <v/>
      </c>
      <c r="P22" s="68">
        <f>ROUND($C$10*$C$9,0)</f>
        <v/>
      </c>
      <c r="Q22" s="68">
        <f>ROUND($C$10*$C$9,0)</f>
        <v/>
      </c>
      <c r="R22" s="68">
        <f>ROUND($C$10*$C$9,0)</f>
        <v/>
      </c>
      <c r="S22" s="68">
        <f>ROUND($C$10*$C$9,0)</f>
        <v/>
      </c>
      <c r="T22" s="68">
        <f>ROUND($C$10*$C$9,0)</f>
        <v/>
      </c>
      <c r="U22" s="68">
        <f>ROUND($C$10*$C$9,0)</f>
        <v/>
      </c>
      <c r="V22" s="68">
        <f>ROUND($C$10*$C$9,0)</f>
        <v/>
      </c>
      <c r="W22" s="68">
        <f>ROUND($C$10*$C$9,0)</f>
        <v/>
      </c>
      <c r="X22" s="68">
        <f>ROUND($C$10*$C$9,0)</f>
        <v/>
      </c>
      <c r="Y22" s="68">
        <f>ROUND($C$10*$C$9,0)</f>
        <v/>
      </c>
      <c r="Z22" s="68">
        <f>ROUND($C$10*$C$9,0)</f>
        <v/>
      </c>
      <c r="AA22" s="69">
        <f>SUM(C22:Z22)</f>
        <v/>
      </c>
    </row>
    <row r="23">
      <c r="B23" s="13" t="inlineStr">
        <is>
          <t>Active customers (end of month)</t>
        </is>
      </c>
      <c r="C23" s="68">
        <f>C22</f>
        <v/>
      </c>
      <c r="D23" s="68">
        <f>C23*(1-$C$12)+D22</f>
        <v/>
      </c>
      <c r="E23" s="68">
        <f>D23*(1-$C$12)+E22</f>
        <v/>
      </c>
      <c r="F23" s="68">
        <f>E23*(1-$C$12)+F22</f>
        <v/>
      </c>
      <c r="G23" s="68">
        <f>F23*(1-$C$12)+G22</f>
        <v/>
      </c>
      <c r="H23" s="68">
        <f>G23*(1-$C$12)+H22</f>
        <v/>
      </c>
      <c r="I23" s="68">
        <f>H23*(1-$C$12)+I22</f>
        <v/>
      </c>
      <c r="J23" s="68">
        <f>I23*(1-$C$12)+J22</f>
        <v/>
      </c>
      <c r="K23" s="68">
        <f>J23*(1-$C$12)+K22</f>
        <v/>
      </c>
      <c r="L23" s="68">
        <f>K23*(1-$C$12)+L22</f>
        <v/>
      </c>
      <c r="M23" s="68">
        <f>L23*(1-$C$12)+M22</f>
        <v/>
      </c>
      <c r="N23" s="68">
        <f>M23*(1-$C$12)+N22</f>
        <v/>
      </c>
      <c r="O23" s="68">
        <f>N23*(1-$C$12)+O22</f>
        <v/>
      </c>
      <c r="P23" s="68">
        <f>O23*(1-$C$12)+P22</f>
        <v/>
      </c>
      <c r="Q23" s="68">
        <f>P23*(1-$C$12)+Q22</f>
        <v/>
      </c>
      <c r="R23" s="68">
        <f>Q23*(1-$C$12)+R22</f>
        <v/>
      </c>
      <c r="S23" s="68">
        <f>R23*(1-$C$12)+S22</f>
        <v/>
      </c>
      <c r="T23" s="68">
        <f>S23*(1-$C$12)+T22</f>
        <v/>
      </c>
      <c r="U23" s="68">
        <f>T23*(1-$C$12)+U22</f>
        <v/>
      </c>
      <c r="V23" s="68">
        <f>U23*(1-$C$12)+V22</f>
        <v/>
      </c>
      <c r="W23" s="68">
        <f>V23*(1-$C$12)+W22</f>
        <v/>
      </c>
      <c r="X23" s="68">
        <f>W23*(1-$C$12)+X22</f>
        <v/>
      </c>
      <c r="Y23" s="68">
        <f>X23*(1-$C$12)+Y22</f>
        <v/>
      </c>
      <c r="Z23" s="68">
        <f>Y23*(1-$C$12)+Z22</f>
        <v/>
      </c>
    </row>
    <row r="25">
      <c r="B25" s="15" t="inlineStr">
        <is>
          <t>Revenue</t>
        </is>
      </c>
      <c r="C25" s="70">
        <f>C23*$C$8</f>
        <v/>
      </c>
      <c r="D25" s="70">
        <f>D23*$C$8</f>
        <v/>
      </c>
      <c r="E25" s="70">
        <f>E23*$C$8</f>
        <v/>
      </c>
      <c r="F25" s="70">
        <f>F23*$C$8</f>
        <v/>
      </c>
      <c r="G25" s="70">
        <f>G23*$C$8</f>
        <v/>
      </c>
      <c r="H25" s="70">
        <f>H23*$C$8</f>
        <v/>
      </c>
      <c r="I25" s="70">
        <f>I23*$C$8</f>
        <v/>
      </c>
      <c r="J25" s="70">
        <f>J23*$C$8</f>
        <v/>
      </c>
      <c r="K25" s="70">
        <f>K23*$C$8</f>
        <v/>
      </c>
      <c r="L25" s="70">
        <f>L23*$C$8</f>
        <v/>
      </c>
      <c r="M25" s="70">
        <f>M23*$C$8</f>
        <v/>
      </c>
      <c r="N25" s="70">
        <f>N23*$C$8</f>
        <v/>
      </c>
      <c r="O25" s="70">
        <f>O23*$C$8</f>
        <v/>
      </c>
      <c r="P25" s="70">
        <f>P23*$C$8</f>
        <v/>
      </c>
      <c r="Q25" s="70">
        <f>Q23*$C$8</f>
        <v/>
      </c>
      <c r="R25" s="70">
        <f>R23*$C$8</f>
        <v/>
      </c>
      <c r="S25" s="70">
        <f>S23*$C$8</f>
        <v/>
      </c>
      <c r="T25" s="70">
        <f>T23*$C$8</f>
        <v/>
      </c>
      <c r="U25" s="70">
        <f>U23*$C$8</f>
        <v/>
      </c>
      <c r="V25" s="70">
        <f>V23*$C$8</f>
        <v/>
      </c>
      <c r="W25" s="70">
        <f>W23*$C$8</f>
        <v/>
      </c>
      <c r="X25" s="70">
        <f>X23*$C$8</f>
        <v/>
      </c>
      <c r="Y25" s="70">
        <f>Y23*$C$8</f>
        <v/>
      </c>
      <c r="Z25" s="70">
        <f>Z23*$C$8</f>
        <v/>
      </c>
      <c r="AA25" s="71">
        <f>SUM(C25:Z25)</f>
        <v/>
      </c>
    </row>
    <row r="26">
      <c r="B26" s="13" t="inlineStr">
        <is>
          <t>COGS (variable cost)</t>
        </is>
      </c>
      <c r="C26" s="68">
        <f>C23*$C$11</f>
        <v/>
      </c>
      <c r="D26" s="68">
        <f>D23*$C$11</f>
        <v/>
      </c>
      <c r="E26" s="68">
        <f>E23*$C$11</f>
        <v/>
      </c>
      <c r="F26" s="68">
        <f>F23*$C$11</f>
        <v/>
      </c>
      <c r="G26" s="68">
        <f>G23*$C$11</f>
        <v/>
      </c>
      <c r="H26" s="68">
        <f>H23*$C$11</f>
        <v/>
      </c>
      <c r="I26" s="68">
        <f>I23*$C$11</f>
        <v/>
      </c>
      <c r="J26" s="68">
        <f>J23*$C$11</f>
        <v/>
      </c>
      <c r="K26" s="68">
        <f>K23*$C$11</f>
        <v/>
      </c>
      <c r="L26" s="68">
        <f>L23*$C$11</f>
        <v/>
      </c>
      <c r="M26" s="68">
        <f>M23*$C$11</f>
        <v/>
      </c>
      <c r="N26" s="68">
        <f>N23*$C$11</f>
        <v/>
      </c>
      <c r="O26" s="68">
        <f>O23*$C$11</f>
        <v/>
      </c>
      <c r="P26" s="68">
        <f>P23*$C$11</f>
        <v/>
      </c>
      <c r="Q26" s="68">
        <f>Q23*$C$11</f>
        <v/>
      </c>
      <c r="R26" s="68">
        <f>R23*$C$11</f>
        <v/>
      </c>
      <c r="S26" s="68">
        <f>S23*$C$11</f>
        <v/>
      </c>
      <c r="T26" s="68">
        <f>T23*$C$11</f>
        <v/>
      </c>
      <c r="U26" s="68">
        <f>U23*$C$11</f>
        <v/>
      </c>
      <c r="V26" s="68">
        <f>V23*$C$11</f>
        <v/>
      </c>
      <c r="W26" s="68">
        <f>W23*$C$11</f>
        <v/>
      </c>
      <c r="X26" s="68">
        <f>X23*$C$11</f>
        <v/>
      </c>
      <c r="Y26" s="68">
        <f>Y23*$C$11</f>
        <v/>
      </c>
      <c r="Z26" s="68">
        <f>Z23*$C$11</f>
        <v/>
      </c>
      <c r="AA26" s="69">
        <f>SUM(C26:Z26)</f>
        <v/>
      </c>
    </row>
    <row r="27">
      <c r="B27" s="17" t="inlineStr">
        <is>
          <t>Gross Profit</t>
        </is>
      </c>
      <c r="C27" s="72">
        <f>C25-C26</f>
        <v/>
      </c>
      <c r="D27" s="72">
        <f>D25-D26</f>
        <v/>
      </c>
      <c r="E27" s="72">
        <f>E25-E26</f>
        <v/>
      </c>
      <c r="F27" s="72">
        <f>F25-F26</f>
        <v/>
      </c>
      <c r="G27" s="72">
        <f>G25-G26</f>
        <v/>
      </c>
      <c r="H27" s="72">
        <f>H25-H26</f>
        <v/>
      </c>
      <c r="I27" s="72">
        <f>I25-I26</f>
        <v/>
      </c>
      <c r="J27" s="72">
        <f>J25-J26</f>
        <v/>
      </c>
      <c r="K27" s="72">
        <f>K25-K26</f>
        <v/>
      </c>
      <c r="L27" s="72">
        <f>L25-L26</f>
        <v/>
      </c>
      <c r="M27" s="72">
        <f>M25-M26</f>
        <v/>
      </c>
      <c r="N27" s="72">
        <f>N25-N26</f>
        <v/>
      </c>
      <c r="O27" s="72">
        <f>O25-O26</f>
        <v/>
      </c>
      <c r="P27" s="72">
        <f>P25-P26</f>
        <v/>
      </c>
      <c r="Q27" s="72">
        <f>Q25-Q26</f>
        <v/>
      </c>
      <c r="R27" s="72">
        <f>R25-R26</f>
        <v/>
      </c>
      <c r="S27" s="72">
        <f>S25-S26</f>
        <v/>
      </c>
      <c r="T27" s="72">
        <f>T25-T26</f>
        <v/>
      </c>
      <c r="U27" s="72">
        <f>U25-U26</f>
        <v/>
      </c>
      <c r="V27" s="72">
        <f>V25-V26</f>
        <v/>
      </c>
      <c r="W27" s="72">
        <f>W25-W26</f>
        <v/>
      </c>
      <c r="X27" s="72">
        <f>X25-X26</f>
        <v/>
      </c>
      <c r="Y27" s="72">
        <f>Y25-Y26</f>
        <v/>
      </c>
      <c r="Z27" s="72">
        <f>Z25-Z26</f>
        <v/>
      </c>
      <c r="AA27" s="69">
        <f>SUM(C27:Z27)</f>
        <v/>
      </c>
    </row>
    <row r="28">
      <c r="B28" s="13" t="inlineStr">
        <is>
          <t>Marketing/Acquisition cost</t>
        </is>
      </c>
      <c r="C28" s="68">
        <f>C22*$C$13</f>
        <v/>
      </c>
      <c r="D28" s="68">
        <f>D22*$C$13</f>
        <v/>
      </c>
      <c r="E28" s="68">
        <f>E22*$C$13</f>
        <v/>
      </c>
      <c r="F28" s="68">
        <f>F22*$C$13</f>
        <v/>
      </c>
      <c r="G28" s="68">
        <f>G22*$C$13</f>
        <v/>
      </c>
      <c r="H28" s="68">
        <f>H22*$C$13</f>
        <v/>
      </c>
      <c r="I28" s="68">
        <f>I22*$C$13</f>
        <v/>
      </c>
      <c r="J28" s="68">
        <f>J22*$C$13</f>
        <v/>
      </c>
      <c r="K28" s="68">
        <f>K22*$C$13</f>
        <v/>
      </c>
      <c r="L28" s="68">
        <f>L22*$C$13</f>
        <v/>
      </c>
      <c r="M28" s="68">
        <f>M22*$C$13</f>
        <v/>
      </c>
      <c r="N28" s="68">
        <f>N22*$C$13</f>
        <v/>
      </c>
      <c r="O28" s="68">
        <f>O22*$C$13</f>
        <v/>
      </c>
      <c r="P28" s="68">
        <f>P22*$C$13</f>
        <v/>
      </c>
      <c r="Q28" s="68">
        <f>Q22*$C$13</f>
        <v/>
      </c>
      <c r="R28" s="68">
        <f>R22*$C$13</f>
        <v/>
      </c>
      <c r="S28" s="68">
        <f>S22*$C$13</f>
        <v/>
      </c>
      <c r="T28" s="68">
        <f>T22*$C$13</f>
        <v/>
      </c>
      <c r="U28" s="68">
        <f>U22*$C$13</f>
        <v/>
      </c>
      <c r="V28" s="68">
        <f>V22*$C$13</f>
        <v/>
      </c>
      <c r="W28" s="68">
        <f>W22*$C$13</f>
        <v/>
      </c>
      <c r="X28" s="68">
        <f>X22*$C$13</f>
        <v/>
      </c>
      <c r="Y28" s="68">
        <f>Y22*$C$13</f>
        <v/>
      </c>
      <c r="Z28" s="68">
        <f>Z22*$C$13</f>
        <v/>
      </c>
      <c r="AA28" s="69">
        <f>SUM(C28:Z28)</f>
        <v/>
      </c>
    </row>
    <row r="29">
      <c r="B29" s="13" t="inlineStr">
        <is>
          <t>Fixed cost (salaries + ops)</t>
        </is>
      </c>
      <c r="C29" s="68">
        <f>$C$14</f>
        <v/>
      </c>
      <c r="D29" s="68">
        <f>$C$14</f>
        <v/>
      </c>
      <c r="E29" s="68">
        <f>$C$14</f>
        <v/>
      </c>
      <c r="F29" s="68">
        <f>$C$14</f>
        <v/>
      </c>
      <c r="G29" s="68">
        <f>$C$14</f>
        <v/>
      </c>
      <c r="H29" s="68">
        <f>$C$14</f>
        <v/>
      </c>
      <c r="I29" s="68">
        <f>$C$14</f>
        <v/>
      </c>
      <c r="J29" s="68">
        <f>$C$14</f>
        <v/>
      </c>
      <c r="K29" s="68">
        <f>$C$14</f>
        <v/>
      </c>
      <c r="L29" s="68">
        <f>$C$14</f>
        <v/>
      </c>
      <c r="M29" s="68">
        <f>$C$14</f>
        <v/>
      </c>
      <c r="N29" s="68">
        <f>$C$14</f>
        <v/>
      </c>
      <c r="O29" s="68">
        <f>$C$14</f>
        <v/>
      </c>
      <c r="P29" s="68">
        <f>$C$14</f>
        <v/>
      </c>
      <c r="Q29" s="68">
        <f>$C$14</f>
        <v/>
      </c>
      <c r="R29" s="68">
        <f>$C$14</f>
        <v/>
      </c>
      <c r="S29" s="68">
        <f>$C$14</f>
        <v/>
      </c>
      <c r="T29" s="68">
        <f>$C$14</f>
        <v/>
      </c>
      <c r="U29" s="68">
        <f>$C$14</f>
        <v/>
      </c>
      <c r="V29" s="68">
        <f>$C$14</f>
        <v/>
      </c>
      <c r="W29" s="68">
        <f>$C$14</f>
        <v/>
      </c>
      <c r="X29" s="68">
        <f>$C$14</f>
        <v/>
      </c>
      <c r="Y29" s="68">
        <f>$C$14</f>
        <v/>
      </c>
      <c r="Z29" s="68">
        <f>$C$14</f>
        <v/>
      </c>
      <c r="AA29" s="69">
        <f>SUM(C29:Z29)</f>
        <v/>
      </c>
    </row>
    <row r="30">
      <c r="B30" s="19" t="inlineStr">
        <is>
          <t>Operating Profit (EBITDA)</t>
        </is>
      </c>
      <c r="C30" s="73">
        <f>C27-C28-C29</f>
        <v/>
      </c>
      <c r="D30" s="73">
        <f>D27-D28-D29</f>
        <v/>
      </c>
      <c r="E30" s="73">
        <f>E27-E28-E29</f>
        <v/>
      </c>
      <c r="F30" s="73">
        <f>F27-F28-F29</f>
        <v/>
      </c>
      <c r="G30" s="73">
        <f>G27-G28-G29</f>
        <v/>
      </c>
      <c r="H30" s="73">
        <f>H27-H28-H29</f>
        <v/>
      </c>
      <c r="I30" s="73">
        <f>I27-I28-I29</f>
        <v/>
      </c>
      <c r="J30" s="73">
        <f>J27-J28-J29</f>
        <v/>
      </c>
      <c r="K30" s="73">
        <f>K27-K28-K29</f>
        <v/>
      </c>
      <c r="L30" s="73">
        <f>L27-L28-L29</f>
        <v/>
      </c>
      <c r="M30" s="73">
        <f>M27-M28-M29</f>
        <v/>
      </c>
      <c r="N30" s="73">
        <f>N27-N28-N29</f>
        <v/>
      </c>
      <c r="O30" s="73">
        <f>O27-O28-O29</f>
        <v/>
      </c>
      <c r="P30" s="73">
        <f>P27-P28-P29</f>
        <v/>
      </c>
      <c r="Q30" s="73">
        <f>Q27-Q28-Q29</f>
        <v/>
      </c>
      <c r="R30" s="73">
        <f>R27-R28-R29</f>
        <v/>
      </c>
      <c r="S30" s="73">
        <f>S27-S28-S29</f>
        <v/>
      </c>
      <c r="T30" s="73">
        <f>T27-T28-T29</f>
        <v/>
      </c>
      <c r="U30" s="73">
        <f>U27-U28-U29</f>
        <v/>
      </c>
      <c r="V30" s="73">
        <f>V27-V28-V29</f>
        <v/>
      </c>
      <c r="W30" s="73">
        <f>W27-W28-W29</f>
        <v/>
      </c>
      <c r="X30" s="73">
        <f>X27-X28-X29</f>
        <v/>
      </c>
      <c r="Y30" s="73">
        <f>Y27-Y28-Y29</f>
        <v/>
      </c>
      <c r="Z30" s="73">
        <f>Z27-Z28-Z29</f>
        <v/>
      </c>
      <c r="AA30" s="74">
        <f>SUM(C30:Z30)</f>
        <v/>
      </c>
    </row>
    <row r="32">
      <c r="B32" s="13" t="inlineStr">
        <is>
          <t>Cash Flow (after investment)</t>
        </is>
      </c>
      <c r="C32" s="68">
        <f>C30-$C$15</f>
        <v/>
      </c>
      <c r="D32" s="68">
        <f>D30</f>
        <v/>
      </c>
      <c r="E32" s="68">
        <f>E30</f>
        <v/>
      </c>
      <c r="F32" s="68">
        <f>F30</f>
        <v/>
      </c>
      <c r="G32" s="68">
        <f>G30</f>
        <v/>
      </c>
      <c r="H32" s="68">
        <f>H30</f>
        <v/>
      </c>
      <c r="I32" s="68">
        <f>I30</f>
        <v/>
      </c>
      <c r="J32" s="68">
        <f>J30</f>
        <v/>
      </c>
      <c r="K32" s="68">
        <f>K30</f>
        <v/>
      </c>
      <c r="L32" s="68">
        <f>L30</f>
        <v/>
      </c>
      <c r="M32" s="68">
        <f>M30</f>
        <v/>
      </c>
      <c r="N32" s="68">
        <f>N30</f>
        <v/>
      </c>
      <c r="O32" s="68">
        <f>O30</f>
        <v/>
      </c>
      <c r="P32" s="68">
        <f>P30</f>
        <v/>
      </c>
      <c r="Q32" s="68">
        <f>Q30</f>
        <v/>
      </c>
      <c r="R32" s="68">
        <f>R30</f>
        <v/>
      </c>
      <c r="S32" s="68">
        <f>S30</f>
        <v/>
      </c>
      <c r="T32" s="68">
        <f>T30</f>
        <v/>
      </c>
      <c r="U32" s="68">
        <f>U30</f>
        <v/>
      </c>
      <c r="V32" s="68">
        <f>V30</f>
        <v/>
      </c>
      <c r="W32" s="68">
        <f>W30</f>
        <v/>
      </c>
      <c r="X32" s="68">
        <f>X30</f>
        <v/>
      </c>
      <c r="Y32" s="68">
        <f>Y30</f>
        <v/>
      </c>
      <c r="Z32" s="68">
        <f>Z30</f>
        <v/>
      </c>
      <c r="AA32" s="69">
        <f>SUM(C32:Z32)</f>
        <v/>
      </c>
    </row>
    <row r="33">
      <c r="B33" s="21" t="inlineStr">
        <is>
          <t>Cash Position (cumulative)</t>
        </is>
      </c>
      <c r="C33" s="75">
        <f>$C$16+C32</f>
        <v/>
      </c>
      <c r="D33" s="75">
        <f>C33+D32</f>
        <v/>
      </c>
      <c r="E33" s="75">
        <f>D33+E32</f>
        <v/>
      </c>
      <c r="F33" s="75">
        <f>E33+F32</f>
        <v/>
      </c>
      <c r="G33" s="75">
        <f>F33+G32</f>
        <v/>
      </c>
      <c r="H33" s="75">
        <f>G33+H32</f>
        <v/>
      </c>
      <c r="I33" s="75">
        <f>H33+I32</f>
        <v/>
      </c>
      <c r="J33" s="75">
        <f>I33+J32</f>
        <v/>
      </c>
      <c r="K33" s="75">
        <f>J33+K32</f>
        <v/>
      </c>
      <c r="L33" s="75">
        <f>K33+L32</f>
        <v/>
      </c>
      <c r="M33" s="75">
        <f>L33+M32</f>
        <v/>
      </c>
      <c r="N33" s="75">
        <f>M33+N32</f>
        <v/>
      </c>
      <c r="O33" s="75">
        <f>N33+O32</f>
        <v/>
      </c>
      <c r="P33" s="75">
        <f>O33+P32</f>
        <v/>
      </c>
      <c r="Q33" s="75">
        <f>P33+Q32</f>
        <v/>
      </c>
      <c r="R33" s="75">
        <f>Q33+R32</f>
        <v/>
      </c>
      <c r="S33" s="75">
        <f>R33+S32</f>
        <v/>
      </c>
      <c r="T33" s="75">
        <f>S33+T32</f>
        <v/>
      </c>
      <c r="U33" s="75">
        <f>T33+U32</f>
        <v/>
      </c>
      <c r="V33" s="75">
        <f>U33+V32</f>
        <v/>
      </c>
      <c r="W33" s="75">
        <f>V33+W32</f>
        <v/>
      </c>
      <c r="X33" s="75">
        <f>W33+X32</f>
        <v/>
      </c>
      <c r="Y33" s="75">
        <f>X33+Y32</f>
        <v/>
      </c>
      <c r="Z33" s="75">
        <f>Y33+Z32</f>
        <v/>
      </c>
    </row>
    <row r="36">
      <c r="B36" s="10" t="inlineStr">
        <is>
          <t>ROI Metrics  /  Chỉ số đánh giá tổng thể dự án</t>
        </is>
      </c>
    </row>
    <row r="37">
      <c r="B37" s="17" t="inlineStr">
        <is>
          <t>NPV (Net Present Value, mil VND)</t>
        </is>
      </c>
      <c r="C37" s="76">
        <f>(NPV($C$17,D32:Z32)+C32)/1000000</f>
        <v/>
      </c>
      <c r="D37" s="5">
        <f>"(target: &gt; 0)"</f>
        <v/>
      </c>
    </row>
    <row r="38">
      <c r="B38" s="17" t="inlineStr">
        <is>
          <t>IRR (Annual)</t>
        </is>
      </c>
      <c r="C38" s="77">
        <f>IFERROR((1+IRR(C32:Z32))^12-1,0)</f>
        <v/>
      </c>
      <c r="D38" s="5">
        <f>"(target: &gt; "&amp;TEXT(CHOOSE($C$6,'1. Assumptions'!C35,'1. Assumptions'!D35,'1. Assumptions'!E35),"0.0%")&amp;")"</f>
        <v/>
      </c>
    </row>
    <row r="39">
      <c r="B39" s="17" t="inlineStr">
        <is>
          <t>Project Payback (months)</t>
        </is>
      </c>
      <c r="C39" s="25">
        <f>IFERROR(MATCH(TRUE(),INDEX(C41:Z41&gt;=0,0),0),"&gt; 24")</f>
        <v/>
      </c>
      <c r="D39" s="5">
        <f>"(target: &lt; 24)"</f>
        <v/>
      </c>
    </row>
    <row r="40">
      <c r="B40" s="17" t="inlineStr">
        <is>
          <t>Runway (months until cash = 0)</t>
        </is>
      </c>
      <c r="C40" s="25">
        <f>IFERROR(MATCH(TRUE(),INDEX(C33:Z33&lt;0,0),0)-1,"&gt;= 24")</f>
        <v/>
      </c>
      <c r="D40" s="5">
        <f>"(target: &gt;= 12)"</f>
        <v/>
      </c>
    </row>
    <row r="41">
      <c r="B41" s="26" t="inlineStr">
        <is>
          <t>(helper: cumulative cash flow)</t>
        </is>
      </c>
      <c r="C41" s="78">
        <f>C32</f>
        <v/>
      </c>
      <c r="D41" s="78">
        <f>C41+D32</f>
        <v/>
      </c>
      <c r="E41" s="78">
        <f>D41+E32</f>
        <v/>
      </c>
      <c r="F41" s="78">
        <f>E41+F32</f>
        <v/>
      </c>
      <c r="G41" s="78">
        <f>F41+G32</f>
        <v/>
      </c>
      <c r="H41" s="78">
        <f>G41+H32</f>
        <v/>
      </c>
      <c r="I41" s="78">
        <f>H41+I32</f>
        <v/>
      </c>
      <c r="J41" s="78">
        <f>I41+J32</f>
        <v/>
      </c>
      <c r="K41" s="78">
        <f>J41+K32</f>
        <v/>
      </c>
      <c r="L41" s="78">
        <f>K41+L32</f>
        <v/>
      </c>
      <c r="M41" s="78">
        <f>L41+M32</f>
        <v/>
      </c>
      <c r="N41" s="78">
        <f>M41+N32</f>
        <v/>
      </c>
      <c r="O41" s="78">
        <f>N41+O32</f>
        <v/>
      </c>
      <c r="P41" s="78">
        <f>O41+P32</f>
        <v/>
      </c>
      <c r="Q41" s="78">
        <f>P41+Q32</f>
        <v/>
      </c>
      <c r="R41" s="78">
        <f>Q41+R32</f>
        <v/>
      </c>
      <c r="S41" s="78">
        <f>R41+S32</f>
        <v/>
      </c>
      <c r="T41" s="78">
        <f>S41+T32</f>
        <v/>
      </c>
      <c r="U41" s="78">
        <f>T41+U32</f>
        <v/>
      </c>
      <c r="V41" s="78">
        <f>U41+V32</f>
        <v/>
      </c>
      <c r="W41" s="78">
        <f>V41+W32</f>
        <v/>
      </c>
      <c r="X41" s="78">
        <f>W41+X32</f>
        <v/>
      </c>
      <c r="Y41" s="78">
        <f>X41+Y32</f>
        <v/>
      </c>
      <c r="Z41" s="78">
        <f>Y41+Z32</f>
        <v/>
      </c>
    </row>
    <row r="43">
      <c r="B43" s="10" t="inlineStr">
        <is>
          <t>Final Verdict  /  Có nên làm dự án này?</t>
        </is>
      </c>
    </row>
    <row r="44" ht="17.6" customHeight="1">
      <c r="B44" s="17" t="inlineStr">
        <is>
          <t>Project Decision</t>
        </is>
      </c>
      <c r="C44" s="28">
        <f>IF(AND(C37&gt;0,C38&gt;CHOOSE($C$6,'1. Assumptions'!C35,'1. Assumptions'!D35,'1. Assumptions'!E35)),"✓ GO — NPV+ và IRR &gt; WACC",IF(C37&lt;0,"✗ NO-GO — NPV âm: dự án không tạo giá trị","⚠ HOLD — IRR thấp hơn kỳ vọng, cần điều chỉnh"))</f>
        <v/>
      </c>
    </row>
  </sheetData>
  <mergeCells count="6">
    <mergeCell ref="D4:H4"/>
    <mergeCell ref="B36:J36"/>
    <mergeCell ref="B2:H2"/>
    <mergeCell ref="C44:J44"/>
    <mergeCell ref="B43:J43"/>
    <mergeCell ref="B20:AA20"/>
  </mergeCells>
  <conditionalFormatting sqref="C33">
    <cfRule type="cellIs" priority="2" operator="lessThan" dxfId="3">
      <formula>0</formula>
    </cfRule>
  </conditionalFormatting>
  <conditionalFormatting sqref="D33">
    <cfRule type="cellIs" priority="3" operator="lessThan" dxfId="3">
      <formula>0</formula>
    </cfRule>
  </conditionalFormatting>
  <conditionalFormatting sqref="E33">
    <cfRule type="cellIs" priority="4" operator="lessThan" dxfId="3">
      <formula>0</formula>
    </cfRule>
  </conditionalFormatting>
  <conditionalFormatting sqref="F33">
    <cfRule type="cellIs" priority="5" operator="lessThan" dxfId="3">
      <formula>0</formula>
    </cfRule>
  </conditionalFormatting>
  <conditionalFormatting sqref="G33">
    <cfRule type="cellIs" priority="6" operator="lessThan" dxfId="3">
      <formula>0</formula>
    </cfRule>
  </conditionalFormatting>
  <conditionalFormatting sqref="H33">
    <cfRule type="cellIs" priority="7" operator="lessThan" dxfId="3">
      <formula>0</formula>
    </cfRule>
  </conditionalFormatting>
  <conditionalFormatting sqref="I33">
    <cfRule type="cellIs" priority="8" operator="lessThan" dxfId="3">
      <formula>0</formula>
    </cfRule>
  </conditionalFormatting>
  <conditionalFormatting sqref="J33">
    <cfRule type="cellIs" priority="9" operator="lessThan" dxfId="3">
      <formula>0</formula>
    </cfRule>
  </conditionalFormatting>
  <conditionalFormatting sqref="K33">
    <cfRule type="cellIs" priority="10" operator="lessThan" dxfId="3">
      <formula>0</formula>
    </cfRule>
  </conditionalFormatting>
  <conditionalFormatting sqref="L33">
    <cfRule type="cellIs" priority="11" operator="lessThan" dxfId="3">
      <formula>0</formula>
    </cfRule>
  </conditionalFormatting>
  <conditionalFormatting sqref="M33">
    <cfRule type="cellIs" priority="12" operator="lessThan" dxfId="3">
      <formula>0</formula>
    </cfRule>
  </conditionalFormatting>
  <conditionalFormatting sqref="N33">
    <cfRule type="cellIs" priority="13" operator="lessThan" dxfId="3">
      <formula>0</formula>
    </cfRule>
  </conditionalFormatting>
  <conditionalFormatting sqref="O33">
    <cfRule type="cellIs" priority="14" operator="lessThan" dxfId="3">
      <formula>0</formula>
    </cfRule>
  </conditionalFormatting>
  <conditionalFormatting sqref="P33">
    <cfRule type="cellIs" priority="15" operator="lessThan" dxfId="3">
      <formula>0</formula>
    </cfRule>
  </conditionalFormatting>
  <conditionalFormatting sqref="Q33">
    <cfRule type="cellIs" priority="16" operator="lessThan" dxfId="3">
      <formula>0</formula>
    </cfRule>
  </conditionalFormatting>
  <conditionalFormatting sqref="R33">
    <cfRule type="cellIs" priority="17" operator="lessThan" dxfId="3">
      <formula>0</formula>
    </cfRule>
  </conditionalFormatting>
  <conditionalFormatting sqref="S33">
    <cfRule type="cellIs" priority="18" operator="lessThan" dxfId="3">
      <formula>0</formula>
    </cfRule>
  </conditionalFormatting>
  <conditionalFormatting sqref="T33">
    <cfRule type="cellIs" priority="19" operator="lessThan" dxfId="3">
      <formula>0</formula>
    </cfRule>
  </conditionalFormatting>
  <conditionalFormatting sqref="U33">
    <cfRule type="cellIs" priority="20" operator="lessThan" dxfId="3">
      <formula>0</formula>
    </cfRule>
  </conditionalFormatting>
  <conditionalFormatting sqref="V33">
    <cfRule type="cellIs" priority="21" operator="lessThan" dxfId="3">
      <formula>0</formula>
    </cfRule>
  </conditionalFormatting>
  <conditionalFormatting sqref="W33">
    <cfRule type="cellIs" priority="22" operator="lessThan" dxfId="3">
      <formula>0</formula>
    </cfRule>
  </conditionalFormatting>
  <conditionalFormatting sqref="X33">
    <cfRule type="cellIs" priority="23" operator="lessThan" dxfId="3">
      <formula>0</formula>
    </cfRule>
  </conditionalFormatting>
  <conditionalFormatting sqref="Y33">
    <cfRule type="cellIs" priority="24" operator="lessThan" dxfId="3">
      <formula>0</formula>
    </cfRule>
  </conditionalFormatting>
  <conditionalFormatting sqref="Z33">
    <cfRule type="cellIs" priority="25" operator="lessThan" dxfId="3">
      <formula>0</formula>
    </cfRule>
  </conditionalFormatting>
  <conditionalFormatting sqref="C37">
    <cfRule type="cellIs" priority="26" operator="greaterThan" dxfId="4">
      <formula>0</formula>
    </cfRule>
    <cfRule type="cellIs" priority="27" operator="lessThanOrEqual" dxfId="5">
      <formula>0</formula>
    </cfRule>
  </conditionalFormatting>
  <conditionalFormatting sqref="C38">
    <cfRule type="expression" priority="28" dxfId="4">
      <formula>C38&gt;CHOOSE($C$6,'1. Assumptions'!C35,'1. Assumptions'!D35,'1. Assumptions'!E35)</formula>
    </cfRule>
    <cfRule type="expression" priority="29" dxfId="5">
      <formula>C38&lt;=CHOOSE($C$6,'1. Assumptions'!C35,'1. Assumptions'!D35,'1. Assumptions'!E35)</formula>
    </cfRule>
  </conditionalFormatting>
  <conditionalFormatting sqref="C40">
    <cfRule type="expression" priority="30" dxfId="5">
      <formula>AND(ISNUMBER(C40),C40&lt;12)</formula>
    </cfRule>
  </conditionalFormatting>
  <dataValidations count="1">
    <dataValidation sqref="C4" showDropDown="0" showInputMessage="0" showErrorMessage="0" allowBlank="0" type="list">
      <formula1>"Optimistic,Base,Pessimistic"</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2026-05-03T22:07:00Z</dcterms:created>
  <dcterms:modified xmlns:dcterms="http://purl.org/dc/terms/" xmlns:xsi="http://www.w3.org/2001/XMLSchema-instance" xsi:type="dcterms:W3CDTF">2026-08-26T08:30:59Z</dcterms:modified>
  <cp:lastModifiedBy>Quyền Đàm Bá</cp:lastModifiedBy>
  <cp:revision>0</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9F7AB3F7979B97FA0967F869EA163140_42</vt:lpwstr>
  </property>
  <property name="KSOProductBuildVer" fmtid="{D5CDD505-2E9C-101B-9397-08002B2CF9AE}" pid="3">
    <vt:lpwstr xmlns:vt="http://schemas.openxmlformats.org/officeDocument/2006/docPropsVTypes">1033-12.1.23135.23135</vt:lpwstr>
  </property>
</Properties>
</file>